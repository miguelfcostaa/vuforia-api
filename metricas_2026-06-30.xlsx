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F36A23F5-1865-446F-99E2-66D3E6476704}" xr6:coauthVersionLast="47" xr6:coauthVersionMax="47" xr10:uidLastSave="{00000000-0000-0000-0000-000000000000}"/>
  <bookViews>
    <workbookView xWindow="1785" yWindow="1515" windowWidth="21855" windowHeight="12645" xr2:uid="{00000000-000D-0000-FFFF-FFFF00000000}"/>
  </bookViews>
  <sheets>
    <sheet name="Métricas" sheetId="1" r:id="rId1"/>
  </sheets>
  <definedNames>
    <definedName name="_xlchart.v1.0" hidden="1">Métricas!$S$2:$S$77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9" i="1" l="1"/>
  <c r="AE79" i="1"/>
  <c r="AD79" i="1"/>
  <c r="AF80" i="1"/>
  <c r="AE80" i="1"/>
  <c r="AD80" i="1"/>
  <c r="AC80" i="1"/>
  <c r="AC79" i="1"/>
  <c r="AB79" i="1"/>
  <c r="AB80" i="1"/>
  <c r="AA80" i="1"/>
  <c r="AA79" i="1"/>
  <c r="Z79" i="1"/>
  <c r="Z80" i="1"/>
  <c r="Y79" i="1"/>
  <c r="Y80" i="1"/>
  <c r="Y81" i="1"/>
  <c r="X79" i="1"/>
  <c r="X80" i="1"/>
  <c r="W80" i="1"/>
  <c r="W79" i="1"/>
  <c r="AF81" i="1"/>
  <c r="AE81" i="1"/>
  <c r="AD81" i="1"/>
  <c r="AC81" i="1"/>
  <c r="AB81" i="1"/>
  <c r="AA81" i="1"/>
  <c r="Z81" i="1"/>
  <c r="X81" i="1"/>
  <c r="W81" i="1"/>
</calcChain>
</file>

<file path=xl/sharedStrings.xml><?xml version="1.0" encoding="utf-8"?>
<sst xmlns="http://schemas.openxmlformats.org/spreadsheetml/2006/main" count="878" uniqueCount="117">
  <si>
    <t>sessao_id</t>
  </si>
  <si>
    <t>username</t>
  </si>
  <si>
    <t>timestamp</t>
  </si>
  <si>
    <t>CORTE ERRADO &gt; agua</t>
  </si>
  <si>
    <t>CORTE ERRADO &gt; bicicleta</t>
  </si>
  <si>
    <t>CORTE ERRADO &gt; cenoura</t>
  </si>
  <si>
    <t>CORTE ERRADO &gt; corrida</t>
  </si>
  <si>
    <t>CORTE ERRADO &gt; maca</t>
  </si>
  <si>
    <t>QUIZ &gt; PERGUNTA 1</t>
  </si>
  <si>
    <t>QUIZ &gt; PERGUNTA 10</t>
  </si>
  <si>
    <t>QUIZ &gt; PERGUNTA 2</t>
  </si>
  <si>
    <t>QUIZ &gt; PERGUNTA 3</t>
  </si>
  <si>
    <t>QUIZ &gt; PERGUNTA 4</t>
  </si>
  <si>
    <t>QUIZ &gt; PERGUNTA 5</t>
  </si>
  <si>
    <t>QUIZ &gt; PERGUNTA 6</t>
  </si>
  <si>
    <t>QUIZ &gt; PERGUNTA 7</t>
  </si>
  <si>
    <t>QUIZ &gt; PERGUNTA 8</t>
  </si>
  <si>
    <t>QUIZ &gt; PERGUNTA 9</t>
  </si>
  <si>
    <t>nivel1.moleculas_co2</t>
  </si>
  <si>
    <t>nivel1.moleculas_corretas</t>
  </si>
  <si>
    <t>nivel1.moleculas_erradas</t>
  </si>
  <si>
    <t>nivel1.moleculas_o2</t>
  </si>
  <si>
    <t>nivel1.pontuacao_final</t>
  </si>
  <si>
    <t>nivel2.cortes_corretos</t>
  </si>
  <si>
    <t>nivel2.cortes_errados</t>
  </si>
  <si>
    <t>nivel2.miss_count</t>
  </si>
  <si>
    <t>nivel2.pontuacao_final</t>
  </si>
  <si>
    <t>nivel3.bisturi_concluido</t>
  </si>
  <si>
    <t>nivel3.comprimido_concluido</t>
  </si>
  <si>
    <t>nivel3.pontuacao_final</t>
  </si>
  <si>
    <t>nivel3.radiacao_concluida</t>
  </si>
  <si>
    <t>nivel3.respostas_certas</t>
  </si>
  <si>
    <t>nivel3.respostas_erradas</t>
  </si>
  <si>
    <t>nivel3.total_perguntas</t>
  </si>
  <si>
    <t>nivel3.tratamento_completo</t>
  </si>
  <si>
    <t>10_2026-06-22</t>
  </si>
  <si>
    <t/>
  </si>
  <si>
    <t>ACERTOU</t>
  </si>
  <si>
    <t>ERROU</t>
  </si>
  <si>
    <t>11_2026-06-22</t>
  </si>
  <si>
    <t>12_2026-06-22</t>
  </si>
  <si>
    <t>13_2026-06-22</t>
  </si>
  <si>
    <t>14_2026-06-22</t>
  </si>
  <si>
    <t>15_2026-06-22</t>
  </si>
  <si>
    <t>16_2026-06-22</t>
  </si>
  <si>
    <t>17_2026-06-22</t>
  </si>
  <si>
    <t>18_2026-06-22</t>
  </si>
  <si>
    <t>19_2026-06-22</t>
  </si>
  <si>
    <t>20_2026-06-22</t>
  </si>
  <si>
    <t>21_2026-06-22</t>
  </si>
  <si>
    <t>22_2026-06-22</t>
  </si>
  <si>
    <t>23_2026-06-22</t>
  </si>
  <si>
    <t>24_2026-06-22</t>
  </si>
  <si>
    <t>25_2026-06-22</t>
  </si>
  <si>
    <t>26_2026-06-22</t>
  </si>
  <si>
    <t>27_2026-06-22</t>
  </si>
  <si>
    <t>28_2026-06-22</t>
  </si>
  <si>
    <t>29_2026-06-22</t>
  </si>
  <si>
    <t>30_2026-06-22</t>
  </si>
  <si>
    <t>31_2026-06-22</t>
  </si>
  <si>
    <t>32_2026-06-22</t>
  </si>
  <si>
    <t>33_2026-06-22</t>
  </si>
  <si>
    <t>34_2026-06-22</t>
  </si>
  <si>
    <t>35_2026-06-29</t>
  </si>
  <si>
    <t>36_2026-06-29</t>
  </si>
  <si>
    <t>37_2026-06-29</t>
  </si>
  <si>
    <t>38_2026-06-29</t>
  </si>
  <si>
    <t>39_2026-06-29</t>
  </si>
  <si>
    <t>40_2026-06-29</t>
  </si>
  <si>
    <t>41_2026-06-29</t>
  </si>
  <si>
    <t>42_2026-06-29</t>
  </si>
  <si>
    <t>43_2026-06-29</t>
  </si>
  <si>
    <t>44_2026-06-29</t>
  </si>
  <si>
    <t>46_2026-06-29</t>
  </si>
  <si>
    <t>48_2026-06-29</t>
  </si>
  <si>
    <t>49_2026-06-29</t>
  </si>
  <si>
    <t>50_2026-06-29</t>
  </si>
  <si>
    <t>51_2026-06-29</t>
  </si>
  <si>
    <t>52_2026-06-29</t>
  </si>
  <si>
    <t>53_2026-06-29</t>
  </si>
  <si>
    <t>54_2026-06-29</t>
  </si>
  <si>
    <t>55_2026-06-29</t>
  </si>
  <si>
    <t>56_2026-06-29</t>
  </si>
  <si>
    <t>57_2026-06-29</t>
  </si>
  <si>
    <t>58_2026-06-29</t>
  </si>
  <si>
    <t>59_2026-06-29</t>
  </si>
  <si>
    <t>60_2026-06-29</t>
  </si>
  <si>
    <t>61_2026-06-29</t>
  </si>
  <si>
    <t>62_2026-06-29</t>
  </si>
  <si>
    <t>63_2026-06-29</t>
  </si>
  <si>
    <t>64_2026-06-29</t>
  </si>
  <si>
    <t>65_2026-06-29</t>
  </si>
  <si>
    <t>66_2026-06-29</t>
  </si>
  <si>
    <t>68_2026-06-29</t>
  </si>
  <si>
    <t>69_2026-06-29</t>
  </si>
  <si>
    <t>70_2026-06-29</t>
  </si>
  <si>
    <t>71_2026-06-29</t>
  </si>
  <si>
    <t>72_2026-06-29</t>
  </si>
  <si>
    <t>73_2026-06-29</t>
  </si>
  <si>
    <t>74_2026-06-29</t>
  </si>
  <si>
    <t>75_2026-06-29</t>
  </si>
  <si>
    <t>76_2026-06-29</t>
  </si>
  <si>
    <t>77_2026-06-29</t>
  </si>
  <si>
    <t>78_2026-06-29</t>
  </si>
  <si>
    <t>79_2026-06-29</t>
  </si>
  <si>
    <t>01_2026-06-22</t>
  </si>
  <si>
    <t>02_2026-06-22</t>
  </si>
  <si>
    <t>03_2026-06-22</t>
  </si>
  <si>
    <t>04_2026-06-22</t>
  </si>
  <si>
    <t>05_2026-06-22</t>
  </si>
  <si>
    <t>06_2026-06-22</t>
  </si>
  <si>
    <t>07_2026-06-22</t>
  </si>
  <si>
    <t>08_2026-06-22</t>
  </si>
  <si>
    <t>09_2026-06-22</t>
  </si>
  <si>
    <t>ano de escolaridade</t>
  </si>
  <si>
    <t>3 ANO</t>
  </si>
  <si>
    <t>4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</si>
</sst>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7" borderId="0" xfId="0" applyFill="1"/>
    <xf numFmtId="0" fontId="1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1" fillId="10" borderId="0" xfId="0" applyFont="1" applyFill="1" applyAlignment="1">
      <alignment horizontal="center" vertical="center"/>
    </xf>
    <xf numFmtId="0" fontId="0" fillId="11" borderId="1" xfId="0" applyFill="1" applyBorder="1"/>
    <xf numFmtId="0" fontId="0" fillId="11" borderId="2" xfId="0" applyFill="1" applyBorder="1"/>
    <xf numFmtId="0" fontId="0" fillId="11" borderId="0" xfId="0" applyFill="1"/>
    <xf numFmtId="0" fontId="0" fillId="12" borderId="0" xfId="0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0" fillId="14" borderId="0" xfId="0" applyFill="1"/>
    <xf numFmtId="0" fontId="3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Quiz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Métricas!#REF!</c:f>
              <c:numCache>
                <c:formatCode>General</c:formatCode>
                <c:ptCount val="10"/>
                <c:pt idx="0">
                  <c:v>72</c:v>
                </c:pt>
                <c:pt idx="1">
                  <c:v>86</c:v>
                </c:pt>
                <c:pt idx="2">
                  <c:v>100</c:v>
                </c:pt>
                <c:pt idx="3">
                  <c:v>94</c:v>
                </c:pt>
                <c:pt idx="4">
                  <c:v>61</c:v>
                </c:pt>
                <c:pt idx="5">
                  <c:v>83</c:v>
                </c:pt>
                <c:pt idx="6">
                  <c:v>92</c:v>
                </c:pt>
                <c:pt idx="7">
                  <c:v>97</c:v>
                </c:pt>
                <c:pt idx="8">
                  <c:v>97</c:v>
                </c:pt>
                <c:pt idx="9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3-416C-B80F-946EB67279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666158671"/>
        <c:axId val="1767163119"/>
      </c:barChart>
      <c:catAx>
        <c:axId val="166615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7163119"/>
        <c:crosses val="autoZero"/>
        <c:auto val="1"/>
        <c:lblAlgn val="ctr"/>
        <c:lblOffset val="100"/>
        <c:noMultiLvlLbl val="0"/>
      </c:catAx>
      <c:valAx>
        <c:axId val="17671631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6615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Pontuações Finais dos Participantes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u="none"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Pontuações Finais dos Participantes</a:t>
          </a:r>
        </a:p>
      </cx:txPr>
    </cx:title>
    <cx:plotArea>
      <cx:plotAreaRegion>
        <cx:series layoutId="clusteredColumn" uniqueId="{D374F90B-F457-493D-8F1B-74198E5AF46C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 u="sng">
                    <a:solidFill>
                      <a:schemeClr val="bg1"/>
                    </a:solidFill>
                  </a:defRPr>
                </a:pPr>
                <a:endParaRPr lang="pt-PT" sz="1050" b="0" i="0" u="sng" strike="noStrike" baseline="0">
                  <a:solidFill>
                    <a:schemeClr val="bg1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u="sng"/>
            </a:pPr>
            <a:endParaRPr lang="pt-PT" sz="1000" b="0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 hidden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u="sng"/>
            </a:pPr>
            <a:endParaRPr lang="pt-PT" sz="1000" b="0" i="0" u="sng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1509994</xdr:colOff>
      <xdr:row>82</xdr:row>
      <xdr:rowOff>63031</xdr:rowOff>
    </xdr:from>
    <xdr:to>
      <xdr:col>26</xdr:col>
      <xdr:colOff>1671919</xdr:colOff>
      <xdr:row>100</xdr:row>
      <xdr:rowOff>67794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AE9AE2-B55D-9922-91AE-0A47D5C16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885823</xdr:colOff>
      <xdr:row>88</xdr:row>
      <xdr:rowOff>155481</xdr:rowOff>
    </xdr:from>
    <xdr:to>
      <xdr:col>19</xdr:col>
      <xdr:colOff>1213035</xdr:colOff>
      <xdr:row>107</xdr:row>
      <xdr:rowOff>17369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E84B697-287F-9189-CD3A-EBB3E93597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08323" y="16538481"/>
              <a:ext cx="5194487" cy="34813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64"/>
  <sheetViews>
    <sheetView tabSelected="1" topLeftCell="V55" zoomScale="70" zoomScaleNormal="70" workbookViewId="0">
      <selection activeCell="AD83" sqref="AD83"/>
    </sheetView>
  </sheetViews>
  <sheetFormatPr defaultRowHeight="15" x14ac:dyDescent="0.25"/>
  <cols>
    <col min="1" max="3" width="16" style="10" customWidth="1"/>
    <col min="4" max="4" width="26" style="10" customWidth="1"/>
    <col min="5" max="5" width="29" style="6" customWidth="1"/>
    <col min="6" max="6" width="30.28515625" style="6" customWidth="1"/>
    <col min="7" max="7" width="26.140625" style="6" customWidth="1"/>
    <col min="8" max="8" width="25.85546875" style="6" customWidth="1"/>
    <col min="9" max="9" width="26" style="6" customWidth="1"/>
    <col min="10" max="10" width="26" style="3" customWidth="1"/>
    <col min="11" max="11" width="25" style="3" customWidth="1"/>
    <col min="12" max="12" width="27.5703125" style="3" customWidth="1"/>
    <col min="13" max="13" width="35.7109375" style="3" customWidth="1"/>
    <col min="14" max="14" width="30.140625" style="3" customWidth="1"/>
    <col min="15" max="15" width="31.7109375" style="3" customWidth="1"/>
    <col min="16" max="16" width="26.85546875" style="3" customWidth="1"/>
    <col min="17" max="17" width="21" style="3" customWidth="1"/>
    <col min="18" max="18" width="26" style="3" customWidth="1"/>
    <col min="19" max="19" width="26" style="13" customWidth="1"/>
    <col min="20" max="20" width="27" style="13" customWidth="1"/>
    <col min="21" max="21" width="28" style="13" customWidth="1"/>
    <col min="22" max="22" width="26" style="13" customWidth="1"/>
    <col min="23" max="32" width="26.42578125" style="13" customWidth="1"/>
    <col min="33" max="33" width="28" style="13" customWidth="1"/>
    <col min="34" max="34" width="31" style="13" customWidth="1"/>
    <col min="35" max="35" width="29" style="13" customWidth="1"/>
    <col min="36" max="36" width="30" style="13" customWidth="1"/>
  </cols>
  <sheetData>
    <row r="1" spans="1:36" s="1" customFormat="1" x14ac:dyDescent="0.25">
      <c r="A1" s="11" t="s">
        <v>0</v>
      </c>
      <c r="B1" s="11" t="s">
        <v>2</v>
      </c>
      <c r="C1" s="11" t="s">
        <v>1</v>
      </c>
      <c r="D1" s="11" t="s">
        <v>114</v>
      </c>
      <c r="E1" s="7" t="s">
        <v>19</v>
      </c>
      <c r="F1" s="7" t="s">
        <v>20</v>
      </c>
      <c r="G1" s="7" t="s">
        <v>21</v>
      </c>
      <c r="H1" s="7" t="s">
        <v>18</v>
      </c>
      <c r="I1" s="7" t="s">
        <v>22</v>
      </c>
      <c r="J1" s="4" t="s">
        <v>23</v>
      </c>
      <c r="K1" s="4" t="s">
        <v>24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25</v>
      </c>
      <c r="R1" s="4" t="s">
        <v>26</v>
      </c>
      <c r="S1" s="14" t="s">
        <v>29</v>
      </c>
      <c r="T1" s="14" t="s">
        <v>31</v>
      </c>
      <c r="U1" s="14" t="s">
        <v>32</v>
      </c>
      <c r="V1" s="14" t="s">
        <v>33</v>
      </c>
      <c r="W1" s="19" t="s">
        <v>8</v>
      </c>
      <c r="X1" s="19" t="s">
        <v>10</v>
      </c>
      <c r="Y1" s="19" t="s">
        <v>11</v>
      </c>
      <c r="Z1" s="19" t="s">
        <v>12</v>
      </c>
      <c r="AA1" s="19" t="s">
        <v>13</v>
      </c>
      <c r="AB1" s="19" t="s">
        <v>14</v>
      </c>
      <c r="AC1" s="19" t="s">
        <v>15</v>
      </c>
      <c r="AD1" s="19" t="s">
        <v>16</v>
      </c>
      <c r="AE1" s="19" t="s">
        <v>17</v>
      </c>
      <c r="AF1" s="19" t="s">
        <v>9</v>
      </c>
      <c r="AG1" s="14" t="s">
        <v>27</v>
      </c>
      <c r="AH1" s="14" t="s">
        <v>28</v>
      </c>
      <c r="AI1" s="14" t="s">
        <v>30</v>
      </c>
      <c r="AJ1" s="14" t="s">
        <v>34</v>
      </c>
    </row>
    <row r="2" spans="1:36" x14ac:dyDescent="0.25">
      <c r="A2" s="8" t="s">
        <v>105</v>
      </c>
      <c r="B2" s="9">
        <v>46195.592418680557</v>
      </c>
      <c r="C2" s="8">
        <v>1</v>
      </c>
      <c r="D2" s="8">
        <v>3</v>
      </c>
      <c r="E2" s="5">
        <v>12</v>
      </c>
      <c r="F2" s="5">
        <v>5</v>
      </c>
      <c r="G2" s="5">
        <v>5</v>
      </c>
      <c r="H2" s="5">
        <v>7</v>
      </c>
      <c r="I2" s="5">
        <v>260</v>
      </c>
      <c r="J2" s="2">
        <v>23</v>
      </c>
      <c r="K2" s="2">
        <v>5</v>
      </c>
      <c r="L2" s="2">
        <v>2</v>
      </c>
      <c r="M2" s="2">
        <v>0</v>
      </c>
      <c r="N2" s="2">
        <v>0</v>
      </c>
      <c r="O2" s="2">
        <v>3</v>
      </c>
      <c r="P2" s="2">
        <v>0</v>
      </c>
      <c r="Q2" s="2">
        <v>5</v>
      </c>
      <c r="R2" s="2">
        <v>440</v>
      </c>
      <c r="S2" s="12">
        <v>840</v>
      </c>
      <c r="T2" s="12">
        <v>10</v>
      </c>
      <c r="U2" s="12">
        <v>0</v>
      </c>
      <c r="V2" s="12">
        <v>10</v>
      </c>
      <c r="W2" s="18" t="s">
        <v>37</v>
      </c>
      <c r="X2" s="18" t="s">
        <v>37</v>
      </c>
      <c r="Y2" s="18" t="s">
        <v>37</v>
      </c>
      <c r="Z2" s="18" t="s">
        <v>37</v>
      </c>
      <c r="AA2" s="18" t="s">
        <v>37</v>
      </c>
      <c r="AB2" s="18" t="s">
        <v>37</v>
      </c>
      <c r="AC2" s="18" t="s">
        <v>37</v>
      </c>
      <c r="AD2" s="18" t="s">
        <v>37</v>
      </c>
      <c r="AE2" s="18" t="s">
        <v>37</v>
      </c>
      <c r="AF2" s="18" t="s">
        <v>37</v>
      </c>
      <c r="AG2" s="12" t="b">
        <v>1</v>
      </c>
      <c r="AH2" s="12" t="b">
        <v>1</v>
      </c>
      <c r="AI2" s="12" t="b">
        <v>1</v>
      </c>
      <c r="AJ2" s="12" t="b">
        <v>1</v>
      </c>
    </row>
    <row r="3" spans="1:36" x14ac:dyDescent="0.25">
      <c r="A3" s="8" t="s">
        <v>106</v>
      </c>
      <c r="B3" s="9">
        <v>46195.591798194444</v>
      </c>
      <c r="C3" s="8">
        <v>2</v>
      </c>
      <c r="D3" s="8">
        <v>3</v>
      </c>
      <c r="E3" s="5">
        <v>17</v>
      </c>
      <c r="F3" s="5">
        <v>3</v>
      </c>
      <c r="G3" s="5">
        <v>12</v>
      </c>
      <c r="H3" s="5">
        <v>5</v>
      </c>
      <c r="I3" s="5">
        <v>270</v>
      </c>
      <c r="J3" s="2">
        <v>19</v>
      </c>
      <c r="K3" s="2">
        <v>6</v>
      </c>
      <c r="L3" s="2">
        <v>2</v>
      </c>
      <c r="M3" s="2">
        <v>1</v>
      </c>
      <c r="N3" s="2">
        <v>0</v>
      </c>
      <c r="O3" s="2">
        <v>2</v>
      </c>
      <c r="P3" s="2">
        <v>1</v>
      </c>
      <c r="Q3" s="2">
        <v>9</v>
      </c>
      <c r="R3" s="2">
        <v>400</v>
      </c>
      <c r="S3" s="12">
        <v>785</v>
      </c>
      <c r="T3" s="12">
        <v>9</v>
      </c>
      <c r="U3" s="12">
        <v>1</v>
      </c>
      <c r="V3" s="12">
        <v>10</v>
      </c>
      <c r="W3" s="18" t="s">
        <v>37</v>
      </c>
      <c r="X3" s="18" t="s">
        <v>37</v>
      </c>
      <c r="Y3" s="18" t="s">
        <v>37</v>
      </c>
      <c r="Z3" s="18" t="s">
        <v>37</v>
      </c>
      <c r="AA3" s="18" t="s">
        <v>38</v>
      </c>
      <c r="AB3" s="18" t="s">
        <v>37</v>
      </c>
      <c r="AC3" s="18" t="s">
        <v>37</v>
      </c>
      <c r="AD3" s="18" t="s">
        <v>37</v>
      </c>
      <c r="AE3" s="18" t="s">
        <v>37</v>
      </c>
      <c r="AF3" s="18" t="s">
        <v>37</v>
      </c>
      <c r="AG3" s="12" t="b">
        <v>1</v>
      </c>
      <c r="AH3" s="12" t="b">
        <v>1</v>
      </c>
      <c r="AI3" s="12" t="b">
        <v>1</v>
      </c>
      <c r="AJ3" s="12" t="b">
        <v>1</v>
      </c>
    </row>
    <row r="4" spans="1:36" x14ac:dyDescent="0.25">
      <c r="A4" s="8" t="s">
        <v>107</v>
      </c>
      <c r="B4" s="9">
        <v>46195.593041631946</v>
      </c>
      <c r="C4" s="8">
        <v>3</v>
      </c>
      <c r="D4" s="8">
        <v>3</v>
      </c>
      <c r="E4" s="5">
        <v>5</v>
      </c>
      <c r="F4" s="5">
        <v>4</v>
      </c>
      <c r="G4" s="5">
        <v>3</v>
      </c>
      <c r="H4" s="5">
        <v>2</v>
      </c>
      <c r="I4" s="5">
        <v>90</v>
      </c>
      <c r="J4" s="2">
        <v>17</v>
      </c>
      <c r="K4" s="2">
        <v>14</v>
      </c>
      <c r="L4" s="2">
        <v>0</v>
      </c>
      <c r="M4" s="2">
        <v>6</v>
      </c>
      <c r="N4" s="2">
        <v>2</v>
      </c>
      <c r="O4" s="2">
        <v>6</v>
      </c>
      <c r="P4" s="2">
        <v>0</v>
      </c>
      <c r="Q4" s="2">
        <v>7</v>
      </c>
      <c r="R4" s="2">
        <v>120</v>
      </c>
      <c r="S4" s="12">
        <v>490</v>
      </c>
      <c r="T4" s="12">
        <v>8</v>
      </c>
      <c r="U4" s="12">
        <v>2</v>
      </c>
      <c r="V4" s="12">
        <v>10</v>
      </c>
      <c r="W4" s="18" t="s">
        <v>37</v>
      </c>
      <c r="X4" s="18" t="s">
        <v>37</v>
      </c>
      <c r="Y4" s="18" t="s">
        <v>37</v>
      </c>
      <c r="Z4" s="18" t="s">
        <v>37</v>
      </c>
      <c r="AA4" s="18" t="s">
        <v>38</v>
      </c>
      <c r="AB4" s="18" t="s">
        <v>38</v>
      </c>
      <c r="AC4" s="18" t="s">
        <v>37</v>
      </c>
      <c r="AD4" s="18" t="s">
        <v>37</v>
      </c>
      <c r="AE4" s="18" t="s">
        <v>37</v>
      </c>
      <c r="AF4" s="18" t="s">
        <v>37</v>
      </c>
      <c r="AG4" s="12" t="b">
        <v>1</v>
      </c>
      <c r="AH4" s="12" t="b">
        <v>1</v>
      </c>
      <c r="AI4" s="12" t="b">
        <v>1</v>
      </c>
      <c r="AJ4" s="12" t="b">
        <v>1</v>
      </c>
    </row>
    <row r="5" spans="1:36" x14ac:dyDescent="0.25">
      <c r="A5" s="8" t="s">
        <v>108</v>
      </c>
      <c r="B5" s="9">
        <v>46195.594193379628</v>
      </c>
      <c r="C5" s="8">
        <v>4</v>
      </c>
      <c r="D5" s="8">
        <v>3</v>
      </c>
      <c r="E5" s="5">
        <v>25</v>
      </c>
      <c r="F5" s="5">
        <v>1</v>
      </c>
      <c r="G5" s="5">
        <v>13</v>
      </c>
      <c r="H5" s="5">
        <v>12</v>
      </c>
      <c r="I5" s="5">
        <v>490</v>
      </c>
      <c r="J5" s="2">
        <v>17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3</v>
      </c>
      <c r="R5" s="2">
        <v>660</v>
      </c>
      <c r="S5" s="12">
        <v>1060</v>
      </c>
      <c r="T5" s="12">
        <v>10</v>
      </c>
      <c r="U5" s="12">
        <v>0</v>
      </c>
      <c r="V5" s="12">
        <v>10</v>
      </c>
      <c r="W5" s="18" t="s">
        <v>37</v>
      </c>
      <c r="X5" s="18" t="s">
        <v>37</v>
      </c>
      <c r="Y5" s="18" t="s">
        <v>37</v>
      </c>
      <c r="Z5" s="18" t="s">
        <v>37</v>
      </c>
      <c r="AA5" s="18" t="s">
        <v>37</v>
      </c>
      <c r="AB5" s="18" t="s">
        <v>37</v>
      </c>
      <c r="AC5" s="18" t="s">
        <v>37</v>
      </c>
      <c r="AD5" s="18" t="s">
        <v>37</v>
      </c>
      <c r="AE5" s="18" t="s">
        <v>37</v>
      </c>
      <c r="AF5" s="18" t="s">
        <v>37</v>
      </c>
      <c r="AG5" s="12" t="b">
        <v>1</v>
      </c>
      <c r="AH5" s="12" t="b">
        <v>1</v>
      </c>
      <c r="AI5" s="12" t="b">
        <v>1</v>
      </c>
      <c r="AJ5" s="12" t="b">
        <v>1</v>
      </c>
    </row>
    <row r="6" spans="1:36" x14ac:dyDescent="0.25">
      <c r="A6" s="8" t="s">
        <v>109</v>
      </c>
      <c r="B6" s="9">
        <v>46195.602932754628</v>
      </c>
      <c r="C6" s="8">
        <v>5</v>
      </c>
      <c r="D6" s="8">
        <v>3</v>
      </c>
      <c r="E6" s="5">
        <v>14</v>
      </c>
      <c r="F6" s="5">
        <v>4</v>
      </c>
      <c r="G6" s="5">
        <v>9</v>
      </c>
      <c r="H6" s="5">
        <v>5</v>
      </c>
      <c r="I6" s="5">
        <v>240</v>
      </c>
      <c r="J6" s="2">
        <v>20</v>
      </c>
      <c r="K6" s="2">
        <v>2</v>
      </c>
      <c r="L6" s="2">
        <v>1</v>
      </c>
      <c r="M6" s="2">
        <v>0</v>
      </c>
      <c r="N6" s="2">
        <v>1</v>
      </c>
      <c r="O6" s="2">
        <v>0</v>
      </c>
      <c r="P6" s="2">
        <v>0</v>
      </c>
      <c r="Q6" s="2">
        <v>2</v>
      </c>
      <c r="R6" s="2">
        <v>420</v>
      </c>
      <c r="S6" s="12">
        <v>775</v>
      </c>
      <c r="T6" s="12">
        <v>7</v>
      </c>
      <c r="U6" s="12">
        <v>3</v>
      </c>
      <c r="V6" s="12">
        <v>10</v>
      </c>
      <c r="W6" s="18" t="s">
        <v>38</v>
      </c>
      <c r="X6" s="18" t="s">
        <v>37</v>
      </c>
      <c r="Y6" s="18" t="s">
        <v>37</v>
      </c>
      <c r="Z6" s="18" t="s">
        <v>37</v>
      </c>
      <c r="AA6" s="18" t="s">
        <v>37</v>
      </c>
      <c r="AB6" s="18" t="s">
        <v>38</v>
      </c>
      <c r="AC6" s="18" t="s">
        <v>38</v>
      </c>
      <c r="AD6" s="18" t="s">
        <v>37</v>
      </c>
      <c r="AE6" s="18" t="s">
        <v>37</v>
      </c>
      <c r="AF6" s="18" t="s">
        <v>37</v>
      </c>
      <c r="AG6" s="12" t="b">
        <v>1</v>
      </c>
      <c r="AH6" s="12" t="b">
        <v>1</v>
      </c>
      <c r="AI6" s="12" t="b">
        <v>1</v>
      </c>
      <c r="AJ6" s="12" t="b">
        <v>1</v>
      </c>
    </row>
    <row r="7" spans="1:36" x14ac:dyDescent="0.25">
      <c r="A7" s="8" t="s">
        <v>110</v>
      </c>
      <c r="B7" s="9">
        <v>46195.6008252662</v>
      </c>
      <c r="C7" s="8">
        <v>6</v>
      </c>
      <c r="D7" s="8">
        <v>3</v>
      </c>
      <c r="E7" s="5">
        <v>23</v>
      </c>
      <c r="F7" s="5">
        <v>3</v>
      </c>
      <c r="G7" s="5">
        <v>14</v>
      </c>
      <c r="H7" s="5">
        <v>9</v>
      </c>
      <c r="I7" s="5">
        <v>410</v>
      </c>
      <c r="J7" s="2">
        <v>26</v>
      </c>
      <c r="K7" s="2">
        <v>3</v>
      </c>
      <c r="L7" s="2">
        <v>1</v>
      </c>
      <c r="M7" s="2">
        <v>0</v>
      </c>
      <c r="N7" s="2">
        <v>1</v>
      </c>
      <c r="O7" s="2">
        <v>1</v>
      </c>
      <c r="P7" s="2">
        <v>0</v>
      </c>
      <c r="Q7" s="2">
        <v>5</v>
      </c>
      <c r="R7" s="2">
        <v>640</v>
      </c>
      <c r="S7" s="12">
        <v>1040</v>
      </c>
      <c r="T7" s="12">
        <v>10</v>
      </c>
      <c r="U7" s="12">
        <v>0</v>
      </c>
      <c r="V7" s="12">
        <v>10</v>
      </c>
      <c r="W7" s="18" t="s">
        <v>37</v>
      </c>
      <c r="X7" s="18" t="s">
        <v>37</v>
      </c>
      <c r="Y7" s="18" t="s">
        <v>37</v>
      </c>
      <c r="Z7" s="18" t="s">
        <v>37</v>
      </c>
      <c r="AA7" s="18" t="s">
        <v>37</v>
      </c>
      <c r="AB7" s="18" t="s">
        <v>37</v>
      </c>
      <c r="AC7" s="18" t="s">
        <v>37</v>
      </c>
      <c r="AD7" s="18" t="s">
        <v>37</v>
      </c>
      <c r="AE7" s="18" t="s">
        <v>37</v>
      </c>
      <c r="AF7" s="18" t="s">
        <v>37</v>
      </c>
      <c r="AG7" s="12" t="b">
        <v>1</v>
      </c>
      <c r="AH7" s="12" t="b">
        <v>1</v>
      </c>
      <c r="AI7" s="12" t="b">
        <v>1</v>
      </c>
      <c r="AJ7" s="12" t="b">
        <v>1</v>
      </c>
    </row>
    <row r="8" spans="1:36" x14ac:dyDescent="0.25">
      <c r="A8" s="8" t="s">
        <v>111</v>
      </c>
      <c r="B8" s="9">
        <v>46195.603953668979</v>
      </c>
      <c r="C8" s="8">
        <v>7</v>
      </c>
      <c r="D8" s="8">
        <v>3</v>
      </c>
      <c r="E8" s="5">
        <v>20</v>
      </c>
      <c r="F8" s="5">
        <v>1</v>
      </c>
      <c r="G8" s="5">
        <v>16</v>
      </c>
      <c r="H8" s="5">
        <v>4</v>
      </c>
      <c r="I8" s="5">
        <v>280</v>
      </c>
      <c r="J8" s="2">
        <v>21</v>
      </c>
      <c r="K8" s="2">
        <v>3</v>
      </c>
      <c r="L8" s="2">
        <v>0</v>
      </c>
      <c r="M8" s="2">
        <v>1</v>
      </c>
      <c r="N8" s="2">
        <v>1</v>
      </c>
      <c r="O8" s="2">
        <v>1</v>
      </c>
      <c r="P8" s="2">
        <v>0</v>
      </c>
      <c r="Q8" s="2">
        <v>2</v>
      </c>
      <c r="R8" s="2">
        <v>460</v>
      </c>
      <c r="S8" s="12">
        <v>845</v>
      </c>
      <c r="T8" s="12">
        <v>9</v>
      </c>
      <c r="U8" s="12">
        <v>1</v>
      </c>
      <c r="V8" s="12">
        <v>10</v>
      </c>
      <c r="W8" s="18" t="s">
        <v>37</v>
      </c>
      <c r="X8" s="18" t="s">
        <v>37</v>
      </c>
      <c r="Y8" s="18" t="s">
        <v>37</v>
      </c>
      <c r="Z8" s="18" t="s">
        <v>37</v>
      </c>
      <c r="AA8" s="18" t="s">
        <v>38</v>
      </c>
      <c r="AB8" s="18" t="s">
        <v>37</v>
      </c>
      <c r="AC8" s="18" t="s">
        <v>37</v>
      </c>
      <c r="AD8" s="18" t="s">
        <v>37</v>
      </c>
      <c r="AE8" s="18" t="s">
        <v>37</v>
      </c>
      <c r="AF8" s="18" t="s">
        <v>37</v>
      </c>
      <c r="AG8" s="12" t="b">
        <v>1</v>
      </c>
      <c r="AH8" s="12" t="b">
        <v>1</v>
      </c>
      <c r="AI8" s="12" t="b">
        <v>1</v>
      </c>
      <c r="AJ8" s="12" t="b">
        <v>1</v>
      </c>
    </row>
    <row r="9" spans="1:36" x14ac:dyDescent="0.25">
      <c r="A9" s="8" t="s">
        <v>112</v>
      </c>
      <c r="B9" s="9">
        <v>46195.60368216435</v>
      </c>
      <c r="C9" s="8">
        <v>8</v>
      </c>
      <c r="D9" s="8">
        <v>3</v>
      </c>
      <c r="E9" s="5">
        <v>11</v>
      </c>
      <c r="F9" s="5">
        <v>8</v>
      </c>
      <c r="G9" s="5">
        <v>4</v>
      </c>
      <c r="H9" s="5">
        <v>7</v>
      </c>
      <c r="I9" s="5">
        <v>250</v>
      </c>
      <c r="J9" s="2">
        <v>25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5</v>
      </c>
      <c r="R9" s="2">
        <v>490</v>
      </c>
      <c r="S9" s="12">
        <v>860</v>
      </c>
      <c r="T9" s="12">
        <v>8</v>
      </c>
      <c r="U9" s="12">
        <v>2</v>
      </c>
      <c r="V9" s="12">
        <v>10</v>
      </c>
      <c r="W9" s="18" t="s">
        <v>38</v>
      </c>
      <c r="X9" s="18" t="s">
        <v>38</v>
      </c>
      <c r="Y9" s="18" t="s">
        <v>37</v>
      </c>
      <c r="Z9" s="18" t="s">
        <v>37</v>
      </c>
      <c r="AA9" s="18" t="s">
        <v>37</v>
      </c>
      <c r="AB9" s="18" t="s">
        <v>37</v>
      </c>
      <c r="AC9" s="18" t="s">
        <v>37</v>
      </c>
      <c r="AD9" s="18" t="s">
        <v>37</v>
      </c>
      <c r="AE9" s="18" t="s">
        <v>37</v>
      </c>
      <c r="AF9" s="18" t="s">
        <v>37</v>
      </c>
      <c r="AG9" s="12" t="b">
        <v>1</v>
      </c>
      <c r="AH9" s="12" t="b">
        <v>1</v>
      </c>
      <c r="AI9" s="12" t="b">
        <v>1</v>
      </c>
      <c r="AJ9" s="12" t="b">
        <v>1</v>
      </c>
    </row>
    <row r="10" spans="1:36" x14ac:dyDescent="0.25">
      <c r="A10" s="8" t="s">
        <v>113</v>
      </c>
      <c r="B10" s="9">
        <v>46195.609977187501</v>
      </c>
      <c r="C10" s="8">
        <v>9</v>
      </c>
      <c r="D10" s="8">
        <v>3</v>
      </c>
      <c r="E10" s="5">
        <v>25</v>
      </c>
      <c r="F10" s="5">
        <v>9</v>
      </c>
      <c r="G10" s="5">
        <v>20</v>
      </c>
      <c r="H10" s="5">
        <v>5</v>
      </c>
      <c r="I10" s="5">
        <v>350</v>
      </c>
      <c r="J10" s="2">
        <v>21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4</v>
      </c>
      <c r="R10" s="2">
        <v>550</v>
      </c>
      <c r="S10" s="12">
        <v>920</v>
      </c>
      <c r="T10" s="12">
        <v>8</v>
      </c>
      <c r="U10" s="12">
        <v>2</v>
      </c>
      <c r="V10" s="12">
        <v>10</v>
      </c>
      <c r="W10" s="18" t="s">
        <v>37</v>
      </c>
      <c r="X10" s="18" t="s">
        <v>37</v>
      </c>
      <c r="Y10" s="18" t="s">
        <v>37</v>
      </c>
      <c r="Z10" s="18" t="s">
        <v>37</v>
      </c>
      <c r="AA10" s="18" t="s">
        <v>38</v>
      </c>
      <c r="AB10" s="18" t="s">
        <v>38</v>
      </c>
      <c r="AC10" s="18" t="s">
        <v>37</v>
      </c>
      <c r="AD10" s="18" t="s">
        <v>37</v>
      </c>
      <c r="AE10" s="18" t="s">
        <v>37</v>
      </c>
      <c r="AF10" s="18" t="s">
        <v>37</v>
      </c>
      <c r="AG10" s="12" t="b">
        <v>1</v>
      </c>
      <c r="AH10" s="12" t="b">
        <v>1</v>
      </c>
      <c r="AI10" s="12" t="b">
        <v>1</v>
      </c>
      <c r="AJ10" s="12" t="b">
        <v>1</v>
      </c>
    </row>
    <row r="11" spans="1:36" x14ac:dyDescent="0.25">
      <c r="A11" s="8" t="s">
        <v>35</v>
      </c>
      <c r="B11" s="9">
        <v>46195.610198194445</v>
      </c>
      <c r="C11" s="8">
        <v>10</v>
      </c>
      <c r="D11" s="8">
        <v>3</v>
      </c>
      <c r="E11" s="5">
        <v>17</v>
      </c>
      <c r="F11" s="5">
        <v>5</v>
      </c>
      <c r="G11" s="5">
        <v>12</v>
      </c>
      <c r="H11" s="5">
        <v>5</v>
      </c>
      <c r="I11" s="5">
        <v>270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12">
        <v>655</v>
      </c>
      <c r="T11" s="12">
        <v>9</v>
      </c>
      <c r="U11" s="12">
        <v>1</v>
      </c>
      <c r="V11" s="12">
        <v>10</v>
      </c>
      <c r="W11" s="18" t="s">
        <v>37</v>
      </c>
      <c r="X11" s="18" t="s">
        <v>37</v>
      </c>
      <c r="Y11" s="18" t="s">
        <v>37</v>
      </c>
      <c r="Z11" s="18" t="s">
        <v>37</v>
      </c>
      <c r="AA11" s="18" t="s">
        <v>38</v>
      </c>
      <c r="AB11" s="18" t="s">
        <v>37</v>
      </c>
      <c r="AC11" s="18" t="s">
        <v>37</v>
      </c>
      <c r="AD11" s="18" t="s">
        <v>37</v>
      </c>
      <c r="AE11" s="18" t="s">
        <v>37</v>
      </c>
      <c r="AF11" s="18" t="s">
        <v>37</v>
      </c>
      <c r="AG11" s="12" t="b">
        <v>1</v>
      </c>
      <c r="AH11" s="12" t="b">
        <v>1</v>
      </c>
      <c r="AI11" s="12" t="b">
        <v>1</v>
      </c>
      <c r="AJ11" s="12" t="b">
        <v>1</v>
      </c>
    </row>
    <row r="12" spans="1:36" x14ac:dyDescent="0.25">
      <c r="A12" s="8" t="s">
        <v>39</v>
      </c>
      <c r="B12" s="9">
        <v>46195.612947719907</v>
      </c>
      <c r="C12" s="8">
        <v>11</v>
      </c>
      <c r="D12" s="8">
        <v>3</v>
      </c>
      <c r="E12" s="5">
        <v>15</v>
      </c>
      <c r="F12" s="5">
        <v>2</v>
      </c>
      <c r="G12" s="5">
        <v>12</v>
      </c>
      <c r="H12" s="5">
        <v>3</v>
      </c>
      <c r="I12" s="5">
        <v>210</v>
      </c>
      <c r="J12" s="2">
        <v>26</v>
      </c>
      <c r="K12" s="2">
        <v>4</v>
      </c>
      <c r="L12" s="2">
        <v>1</v>
      </c>
      <c r="M12" s="2">
        <v>1</v>
      </c>
      <c r="N12" s="2">
        <v>1</v>
      </c>
      <c r="O12" s="2">
        <v>0</v>
      </c>
      <c r="P12" s="2">
        <v>1</v>
      </c>
      <c r="Q12" s="2">
        <v>5</v>
      </c>
      <c r="R12" s="2">
        <v>430</v>
      </c>
      <c r="S12" s="12">
        <v>830</v>
      </c>
      <c r="T12" s="12">
        <v>10</v>
      </c>
      <c r="U12" s="12">
        <v>0</v>
      </c>
      <c r="V12" s="12">
        <v>10</v>
      </c>
      <c r="W12" s="18" t="s">
        <v>37</v>
      </c>
      <c r="X12" s="18" t="s">
        <v>37</v>
      </c>
      <c r="Y12" s="18" t="s">
        <v>37</v>
      </c>
      <c r="Z12" s="18" t="s">
        <v>37</v>
      </c>
      <c r="AA12" s="18" t="s">
        <v>37</v>
      </c>
      <c r="AB12" s="18" t="s">
        <v>37</v>
      </c>
      <c r="AC12" s="18" t="s">
        <v>37</v>
      </c>
      <c r="AD12" s="18" t="s">
        <v>37</v>
      </c>
      <c r="AE12" s="18" t="s">
        <v>37</v>
      </c>
      <c r="AF12" s="18" t="s">
        <v>37</v>
      </c>
      <c r="AG12" s="12" t="b">
        <v>1</v>
      </c>
      <c r="AH12" s="12" t="b">
        <v>1</v>
      </c>
      <c r="AI12" s="12" t="b">
        <v>1</v>
      </c>
      <c r="AJ12" s="12" t="b">
        <v>1</v>
      </c>
    </row>
    <row r="13" spans="1:36" x14ac:dyDescent="0.25">
      <c r="A13" s="8" t="s">
        <v>40</v>
      </c>
      <c r="B13" s="9">
        <v>46195.614095474535</v>
      </c>
      <c r="C13" s="8">
        <v>12</v>
      </c>
      <c r="D13" s="8">
        <v>3</v>
      </c>
      <c r="E13" s="5">
        <v>17</v>
      </c>
      <c r="F13" s="5">
        <v>2</v>
      </c>
      <c r="G13" s="5">
        <v>14</v>
      </c>
      <c r="H13" s="5">
        <v>3</v>
      </c>
      <c r="I13" s="5">
        <v>230</v>
      </c>
      <c r="J13" s="2">
        <v>22</v>
      </c>
      <c r="K13" s="2">
        <v>1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3</v>
      </c>
      <c r="R13" s="2">
        <v>440</v>
      </c>
      <c r="S13" s="12">
        <v>825</v>
      </c>
      <c r="T13" s="12">
        <v>9</v>
      </c>
      <c r="U13" s="12">
        <v>1</v>
      </c>
      <c r="V13" s="12">
        <v>10</v>
      </c>
      <c r="W13" s="18" t="s">
        <v>37</v>
      </c>
      <c r="X13" s="18" t="s">
        <v>37</v>
      </c>
      <c r="Y13" s="18" t="s">
        <v>37</v>
      </c>
      <c r="Z13" s="18" t="s">
        <v>37</v>
      </c>
      <c r="AA13" s="18" t="s">
        <v>38</v>
      </c>
      <c r="AB13" s="18" t="s">
        <v>37</v>
      </c>
      <c r="AC13" s="18" t="s">
        <v>37</v>
      </c>
      <c r="AD13" s="18" t="s">
        <v>37</v>
      </c>
      <c r="AE13" s="18" t="s">
        <v>37</v>
      </c>
      <c r="AF13" s="18" t="s">
        <v>37</v>
      </c>
      <c r="AG13" s="12" t="b">
        <v>1</v>
      </c>
      <c r="AH13" s="12" t="b">
        <v>1</v>
      </c>
      <c r="AI13" s="12" t="b">
        <v>1</v>
      </c>
      <c r="AJ13" s="12" t="b">
        <v>1</v>
      </c>
    </row>
    <row r="14" spans="1:36" x14ac:dyDescent="0.25">
      <c r="A14" s="8" t="s">
        <v>41</v>
      </c>
      <c r="B14" s="9">
        <v>46195.617920046294</v>
      </c>
      <c r="C14" s="8">
        <v>13</v>
      </c>
      <c r="D14" s="8">
        <v>3</v>
      </c>
      <c r="E14" s="5">
        <v>9</v>
      </c>
      <c r="F14" s="5">
        <v>8</v>
      </c>
      <c r="G14" s="5">
        <v>6</v>
      </c>
      <c r="H14" s="5">
        <v>3</v>
      </c>
      <c r="I14" s="5">
        <v>150</v>
      </c>
      <c r="J14" s="2">
        <v>12</v>
      </c>
      <c r="K14" s="2">
        <v>22</v>
      </c>
      <c r="L14" s="2">
        <v>2</v>
      </c>
      <c r="M14" s="2">
        <v>4</v>
      </c>
      <c r="N14" s="2">
        <v>7</v>
      </c>
      <c r="O14" s="2">
        <v>4</v>
      </c>
      <c r="P14" s="2">
        <v>5</v>
      </c>
      <c r="Q14" s="2">
        <v>17</v>
      </c>
      <c r="R14" s="2">
        <v>50</v>
      </c>
      <c r="S14" s="12">
        <v>435</v>
      </c>
      <c r="T14" s="12">
        <v>9</v>
      </c>
      <c r="U14" s="12">
        <v>1</v>
      </c>
      <c r="V14" s="12">
        <v>10</v>
      </c>
      <c r="W14" s="18" t="s">
        <v>37</v>
      </c>
      <c r="X14" s="18" t="s">
        <v>37</v>
      </c>
      <c r="Y14" s="18" t="s">
        <v>37</v>
      </c>
      <c r="Z14" s="18" t="s">
        <v>37</v>
      </c>
      <c r="AA14" s="18" t="s">
        <v>38</v>
      </c>
      <c r="AB14" s="18" t="s">
        <v>37</v>
      </c>
      <c r="AC14" s="18" t="s">
        <v>37</v>
      </c>
      <c r="AD14" s="18" t="s">
        <v>37</v>
      </c>
      <c r="AE14" s="18" t="s">
        <v>37</v>
      </c>
      <c r="AF14" s="18" t="s">
        <v>37</v>
      </c>
      <c r="AG14" s="12" t="b">
        <v>1</v>
      </c>
      <c r="AH14" s="12" t="b">
        <v>1</v>
      </c>
      <c r="AI14" s="12" t="b">
        <v>1</v>
      </c>
      <c r="AJ14" s="12" t="b">
        <v>1</v>
      </c>
    </row>
    <row r="15" spans="1:36" x14ac:dyDescent="0.25">
      <c r="A15" s="8" t="s">
        <v>42</v>
      </c>
      <c r="B15" s="9">
        <v>46195.645080983799</v>
      </c>
      <c r="C15" s="8">
        <v>14</v>
      </c>
      <c r="D15" s="8">
        <v>3</v>
      </c>
      <c r="E15" s="5">
        <v>10</v>
      </c>
      <c r="F15" s="5">
        <v>4</v>
      </c>
      <c r="G15" s="5">
        <v>5</v>
      </c>
      <c r="H15" s="5">
        <v>5</v>
      </c>
      <c r="I15" s="5">
        <v>200</v>
      </c>
      <c r="J15" s="2">
        <v>19</v>
      </c>
      <c r="K15" s="2">
        <v>2</v>
      </c>
      <c r="L15" s="2">
        <v>0</v>
      </c>
      <c r="M15" s="2">
        <v>0</v>
      </c>
      <c r="N15" s="2">
        <v>1</v>
      </c>
      <c r="O15" s="2">
        <v>0</v>
      </c>
      <c r="P15" s="2">
        <v>1</v>
      </c>
      <c r="Q15" s="2">
        <v>5</v>
      </c>
      <c r="R15" s="2">
        <v>370</v>
      </c>
      <c r="S15" s="12">
        <v>755</v>
      </c>
      <c r="T15" s="12">
        <v>9</v>
      </c>
      <c r="U15" s="12">
        <v>1</v>
      </c>
      <c r="V15" s="12">
        <v>10</v>
      </c>
      <c r="W15" s="18" t="s">
        <v>37</v>
      </c>
      <c r="X15" s="18" t="s">
        <v>37</v>
      </c>
      <c r="Y15" s="18" t="s">
        <v>37</v>
      </c>
      <c r="Z15" s="18" t="s">
        <v>37</v>
      </c>
      <c r="AA15" s="18" t="s">
        <v>38</v>
      </c>
      <c r="AB15" s="18" t="s">
        <v>37</v>
      </c>
      <c r="AC15" s="18" t="s">
        <v>37</v>
      </c>
      <c r="AD15" s="18" t="s">
        <v>37</v>
      </c>
      <c r="AE15" s="18" t="s">
        <v>37</v>
      </c>
      <c r="AF15" s="18" t="s">
        <v>37</v>
      </c>
      <c r="AG15" s="12" t="b">
        <v>1</v>
      </c>
      <c r="AH15" s="12" t="b">
        <v>1</v>
      </c>
      <c r="AI15" s="12" t="b">
        <v>1</v>
      </c>
      <c r="AJ15" s="12" t="b">
        <v>1</v>
      </c>
    </row>
    <row r="16" spans="1:36" x14ac:dyDescent="0.25">
      <c r="A16" s="8" t="s">
        <v>43</v>
      </c>
      <c r="B16" s="9">
        <v>46195.644930601848</v>
      </c>
      <c r="C16" s="8">
        <v>15</v>
      </c>
      <c r="D16" s="8">
        <v>3</v>
      </c>
      <c r="E16" s="5">
        <v>18</v>
      </c>
      <c r="F16" s="5">
        <v>4</v>
      </c>
      <c r="G16" s="5">
        <v>14</v>
      </c>
      <c r="H16" s="5">
        <v>4</v>
      </c>
      <c r="I16" s="5">
        <v>260</v>
      </c>
      <c r="J16" s="2">
        <v>21</v>
      </c>
      <c r="K16" s="2">
        <v>5</v>
      </c>
      <c r="L16" s="2">
        <v>0</v>
      </c>
      <c r="M16" s="2">
        <v>2</v>
      </c>
      <c r="N16" s="2">
        <v>1</v>
      </c>
      <c r="O16" s="2">
        <v>2</v>
      </c>
      <c r="P16" s="2">
        <v>0</v>
      </c>
      <c r="Q16" s="2">
        <v>1</v>
      </c>
      <c r="R16" s="2">
        <v>420</v>
      </c>
      <c r="S16" s="12">
        <v>820</v>
      </c>
      <c r="T16" s="12">
        <v>10</v>
      </c>
      <c r="U16" s="12">
        <v>0</v>
      </c>
      <c r="V16" s="12">
        <v>10</v>
      </c>
      <c r="W16" s="18" t="s">
        <v>37</v>
      </c>
      <c r="X16" s="18" t="s">
        <v>37</v>
      </c>
      <c r="Y16" s="18" t="s">
        <v>37</v>
      </c>
      <c r="Z16" s="18" t="s">
        <v>37</v>
      </c>
      <c r="AA16" s="18" t="s">
        <v>37</v>
      </c>
      <c r="AB16" s="18" t="s">
        <v>37</v>
      </c>
      <c r="AC16" s="18" t="s">
        <v>37</v>
      </c>
      <c r="AD16" s="18" t="s">
        <v>37</v>
      </c>
      <c r="AE16" s="18" t="s">
        <v>37</v>
      </c>
      <c r="AF16" s="18" t="s">
        <v>37</v>
      </c>
      <c r="AG16" s="12" t="b">
        <v>1</v>
      </c>
      <c r="AH16" s="12" t="b">
        <v>1</v>
      </c>
      <c r="AI16" s="12" t="b">
        <v>1</v>
      </c>
      <c r="AJ16" s="12" t="b">
        <v>1</v>
      </c>
    </row>
    <row r="17" spans="1:36" x14ac:dyDescent="0.25">
      <c r="A17" s="8" t="s">
        <v>44</v>
      </c>
      <c r="B17" s="9">
        <v>46195.64792181713</v>
      </c>
      <c r="C17" s="8">
        <v>16</v>
      </c>
      <c r="D17" s="8">
        <v>3</v>
      </c>
      <c r="E17" s="5">
        <v>24</v>
      </c>
      <c r="F17" s="5">
        <v>4</v>
      </c>
      <c r="G17" s="5">
        <v>17</v>
      </c>
      <c r="H17" s="5">
        <v>7</v>
      </c>
      <c r="I17" s="5">
        <v>380</v>
      </c>
      <c r="J17" s="2">
        <v>22</v>
      </c>
      <c r="K17" s="2">
        <v>2</v>
      </c>
      <c r="L17" s="2">
        <v>0</v>
      </c>
      <c r="M17" s="2">
        <v>0</v>
      </c>
      <c r="N17" s="2">
        <v>1</v>
      </c>
      <c r="O17" s="2">
        <v>1</v>
      </c>
      <c r="P17" s="2">
        <v>0</v>
      </c>
      <c r="Q17" s="2">
        <v>3</v>
      </c>
      <c r="R17" s="2">
        <v>580</v>
      </c>
      <c r="S17" s="12">
        <v>950</v>
      </c>
      <c r="T17" s="12">
        <v>8</v>
      </c>
      <c r="U17" s="12">
        <v>2</v>
      </c>
      <c r="V17" s="12">
        <v>10</v>
      </c>
      <c r="W17" s="18" t="s">
        <v>38</v>
      </c>
      <c r="X17" s="18" t="s">
        <v>37</v>
      </c>
      <c r="Y17" s="18" t="s">
        <v>37</v>
      </c>
      <c r="Z17" s="18" t="s">
        <v>37</v>
      </c>
      <c r="AA17" s="18" t="s">
        <v>38</v>
      </c>
      <c r="AB17" s="18" t="s">
        <v>37</v>
      </c>
      <c r="AC17" s="18" t="s">
        <v>37</v>
      </c>
      <c r="AD17" s="18" t="s">
        <v>37</v>
      </c>
      <c r="AE17" s="18" t="s">
        <v>37</v>
      </c>
      <c r="AF17" s="18" t="s">
        <v>37</v>
      </c>
      <c r="AG17" s="12" t="b">
        <v>1</v>
      </c>
      <c r="AH17" s="12" t="b">
        <v>1</v>
      </c>
      <c r="AI17" s="12" t="b">
        <v>1</v>
      </c>
      <c r="AJ17" s="12" t="b">
        <v>1</v>
      </c>
    </row>
    <row r="18" spans="1:36" x14ac:dyDescent="0.25">
      <c r="A18" s="8" t="s">
        <v>45</v>
      </c>
      <c r="B18" s="9">
        <v>46195.647908530096</v>
      </c>
      <c r="C18" s="8">
        <v>17</v>
      </c>
      <c r="D18" s="8">
        <v>3</v>
      </c>
      <c r="E18" s="5">
        <v>14</v>
      </c>
      <c r="F18" s="5">
        <v>12</v>
      </c>
      <c r="G18" s="5">
        <v>9</v>
      </c>
      <c r="H18" s="5">
        <v>5</v>
      </c>
      <c r="I18" s="5">
        <v>240</v>
      </c>
      <c r="J18" s="2">
        <v>19</v>
      </c>
      <c r="K18" s="2">
        <v>20</v>
      </c>
      <c r="L18" s="2">
        <v>1</v>
      </c>
      <c r="M18" s="2">
        <v>4</v>
      </c>
      <c r="N18" s="2">
        <v>8</v>
      </c>
      <c r="O18" s="2">
        <v>1</v>
      </c>
      <c r="P18" s="2">
        <v>6</v>
      </c>
      <c r="Q18" s="2">
        <v>5</v>
      </c>
      <c r="R18" s="2">
        <v>230</v>
      </c>
      <c r="S18" s="12">
        <v>630</v>
      </c>
      <c r="T18" s="12">
        <v>10</v>
      </c>
      <c r="U18" s="12">
        <v>0</v>
      </c>
      <c r="V18" s="12">
        <v>10</v>
      </c>
      <c r="W18" s="18" t="s">
        <v>37</v>
      </c>
      <c r="X18" s="18" t="s">
        <v>37</v>
      </c>
      <c r="Y18" s="18" t="s">
        <v>37</v>
      </c>
      <c r="Z18" s="18" t="s">
        <v>37</v>
      </c>
      <c r="AA18" s="18" t="s">
        <v>37</v>
      </c>
      <c r="AB18" s="18" t="s">
        <v>37</v>
      </c>
      <c r="AC18" s="18" t="s">
        <v>37</v>
      </c>
      <c r="AD18" s="18" t="s">
        <v>37</v>
      </c>
      <c r="AE18" s="18" t="s">
        <v>37</v>
      </c>
      <c r="AF18" s="18" t="s">
        <v>37</v>
      </c>
      <c r="AG18" s="12" t="b">
        <v>1</v>
      </c>
      <c r="AH18" s="12" t="b">
        <v>1</v>
      </c>
      <c r="AI18" s="12" t="b">
        <v>1</v>
      </c>
      <c r="AJ18" s="12" t="b">
        <v>1</v>
      </c>
    </row>
    <row r="19" spans="1:36" x14ac:dyDescent="0.25">
      <c r="A19" s="8" t="s">
        <v>46</v>
      </c>
      <c r="B19" s="9">
        <v>46195.647317916664</v>
      </c>
      <c r="C19" s="8">
        <v>18</v>
      </c>
      <c r="D19" s="8">
        <v>3</v>
      </c>
      <c r="E19" s="5">
        <v>27</v>
      </c>
      <c r="F19" s="5">
        <v>1</v>
      </c>
      <c r="G19" s="5">
        <v>22</v>
      </c>
      <c r="H19" s="5">
        <v>5</v>
      </c>
      <c r="I19" s="5">
        <v>370</v>
      </c>
      <c r="J19" s="2">
        <v>8</v>
      </c>
      <c r="K19" s="2">
        <v>5</v>
      </c>
      <c r="L19" s="2">
        <v>0</v>
      </c>
      <c r="M19" s="2">
        <v>3</v>
      </c>
      <c r="N19" s="2">
        <v>0</v>
      </c>
      <c r="O19" s="2">
        <v>2</v>
      </c>
      <c r="P19" s="2">
        <v>0</v>
      </c>
      <c r="Q19" s="2">
        <v>13</v>
      </c>
      <c r="R19" s="2">
        <v>400</v>
      </c>
      <c r="S19" s="12">
        <v>755</v>
      </c>
      <c r="T19" s="12">
        <v>7</v>
      </c>
      <c r="U19" s="12">
        <v>3</v>
      </c>
      <c r="V19" s="12">
        <v>10</v>
      </c>
      <c r="W19" s="18" t="s">
        <v>37</v>
      </c>
      <c r="X19" s="18" t="s">
        <v>37</v>
      </c>
      <c r="Y19" s="18" t="s">
        <v>37</v>
      </c>
      <c r="Z19" s="18" t="s">
        <v>38</v>
      </c>
      <c r="AA19" s="18" t="s">
        <v>38</v>
      </c>
      <c r="AB19" s="18" t="s">
        <v>38</v>
      </c>
      <c r="AC19" s="18" t="s">
        <v>37</v>
      </c>
      <c r="AD19" s="18" t="s">
        <v>37</v>
      </c>
      <c r="AE19" s="18" t="s">
        <v>37</v>
      </c>
      <c r="AF19" s="18" t="s">
        <v>37</v>
      </c>
      <c r="AG19" s="12" t="b">
        <v>1</v>
      </c>
      <c r="AH19" s="12" t="b">
        <v>1</v>
      </c>
      <c r="AI19" s="12" t="b">
        <v>1</v>
      </c>
      <c r="AJ19" s="12" t="b">
        <v>1</v>
      </c>
    </row>
    <row r="20" spans="1:36" x14ac:dyDescent="0.25">
      <c r="A20" s="8" t="s">
        <v>47</v>
      </c>
      <c r="B20" s="9">
        <v>46195.655942060184</v>
      </c>
      <c r="C20" s="8">
        <v>19</v>
      </c>
      <c r="D20" s="8">
        <v>3</v>
      </c>
      <c r="E20" s="5">
        <v>23</v>
      </c>
      <c r="F20" s="5">
        <v>2</v>
      </c>
      <c r="G20" s="5">
        <v>15</v>
      </c>
      <c r="H20" s="5">
        <v>8</v>
      </c>
      <c r="I20" s="5">
        <v>390</v>
      </c>
      <c r="J20" s="2">
        <v>29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1</v>
      </c>
      <c r="R20" s="2">
        <v>680</v>
      </c>
      <c r="S20" s="12">
        <v>1050</v>
      </c>
      <c r="T20" s="12">
        <v>8</v>
      </c>
      <c r="U20" s="12">
        <v>2</v>
      </c>
      <c r="V20" s="12">
        <v>10</v>
      </c>
      <c r="W20" s="18" t="s">
        <v>37</v>
      </c>
      <c r="X20" s="18" t="s">
        <v>38</v>
      </c>
      <c r="Y20" s="18" t="s">
        <v>37</v>
      </c>
      <c r="Z20" s="18" t="s">
        <v>37</v>
      </c>
      <c r="AA20" s="18" t="s">
        <v>37</v>
      </c>
      <c r="AB20" s="18" t="s">
        <v>37</v>
      </c>
      <c r="AC20" s="18" t="s">
        <v>38</v>
      </c>
      <c r="AD20" s="18" t="s">
        <v>37</v>
      </c>
      <c r="AE20" s="18" t="s">
        <v>37</v>
      </c>
      <c r="AF20" s="18" t="s">
        <v>37</v>
      </c>
      <c r="AG20" s="12" t="b">
        <v>1</v>
      </c>
      <c r="AH20" s="12" t="b">
        <v>1</v>
      </c>
      <c r="AI20" s="12" t="b">
        <v>1</v>
      </c>
      <c r="AJ20" s="12" t="b">
        <v>1</v>
      </c>
    </row>
    <row r="21" spans="1:36" x14ac:dyDescent="0.25">
      <c r="A21" s="8" t="s">
        <v>48</v>
      </c>
      <c r="B21" s="9">
        <v>46195.654976203703</v>
      </c>
      <c r="C21" s="8">
        <v>20</v>
      </c>
      <c r="D21" s="8">
        <v>3</v>
      </c>
      <c r="E21" s="5">
        <v>18</v>
      </c>
      <c r="F21" s="5">
        <v>10</v>
      </c>
      <c r="G21" s="5">
        <v>15</v>
      </c>
      <c r="H21" s="5">
        <v>3</v>
      </c>
      <c r="I21" s="5">
        <v>240</v>
      </c>
      <c r="J21" s="2">
        <v>14</v>
      </c>
      <c r="K21" s="2">
        <v>5</v>
      </c>
      <c r="L21" s="2">
        <v>3</v>
      </c>
      <c r="M21" s="2">
        <v>2</v>
      </c>
      <c r="N21" s="2">
        <v>0</v>
      </c>
      <c r="O21" s="2">
        <v>0</v>
      </c>
      <c r="P21" s="2">
        <v>0</v>
      </c>
      <c r="Q21" s="2">
        <v>3</v>
      </c>
      <c r="R21" s="2">
        <v>330</v>
      </c>
      <c r="S21" s="12">
        <v>700</v>
      </c>
      <c r="T21" s="12">
        <v>8</v>
      </c>
      <c r="U21" s="12">
        <v>2</v>
      </c>
      <c r="V21" s="12">
        <v>10</v>
      </c>
      <c r="W21" s="18" t="s">
        <v>38</v>
      </c>
      <c r="X21" s="18" t="s">
        <v>38</v>
      </c>
      <c r="Y21" s="18" t="s">
        <v>37</v>
      </c>
      <c r="Z21" s="18" t="s">
        <v>37</v>
      </c>
      <c r="AA21" s="18" t="s">
        <v>37</v>
      </c>
      <c r="AB21" s="18" t="s">
        <v>37</v>
      </c>
      <c r="AC21" s="18" t="s">
        <v>37</v>
      </c>
      <c r="AD21" s="18" t="s">
        <v>37</v>
      </c>
      <c r="AE21" s="18" t="s">
        <v>37</v>
      </c>
      <c r="AF21" s="18" t="s">
        <v>37</v>
      </c>
      <c r="AG21" s="12" t="b">
        <v>1</v>
      </c>
      <c r="AH21" s="12" t="b">
        <v>1</v>
      </c>
      <c r="AI21" s="12" t="b">
        <v>1</v>
      </c>
      <c r="AJ21" s="12" t="b">
        <v>1</v>
      </c>
    </row>
    <row r="22" spans="1:36" x14ac:dyDescent="0.25">
      <c r="A22" s="8" t="s">
        <v>49</v>
      </c>
      <c r="B22" s="9">
        <v>46195.654214560185</v>
      </c>
      <c r="C22" s="8">
        <v>21</v>
      </c>
      <c r="D22" s="8">
        <v>3</v>
      </c>
      <c r="E22" s="5">
        <v>18</v>
      </c>
      <c r="F22" s="5">
        <v>2</v>
      </c>
      <c r="G22" s="5">
        <v>15</v>
      </c>
      <c r="H22" s="5">
        <v>3</v>
      </c>
      <c r="I22" s="5">
        <v>240</v>
      </c>
      <c r="J22" s="2">
        <v>10</v>
      </c>
      <c r="K22" s="2">
        <v>12</v>
      </c>
      <c r="L22" s="2">
        <v>3</v>
      </c>
      <c r="M22" s="2">
        <v>3</v>
      </c>
      <c r="N22" s="2">
        <v>3</v>
      </c>
      <c r="O22" s="2">
        <v>1</v>
      </c>
      <c r="P22" s="2">
        <v>2</v>
      </c>
      <c r="Q22" s="2">
        <v>16</v>
      </c>
      <c r="R22" s="2">
        <v>220</v>
      </c>
      <c r="S22" s="12">
        <v>620</v>
      </c>
      <c r="T22" s="12">
        <v>10</v>
      </c>
      <c r="U22" s="12">
        <v>0</v>
      </c>
      <c r="V22" s="12">
        <v>10</v>
      </c>
      <c r="W22" s="18" t="s">
        <v>37</v>
      </c>
      <c r="X22" s="18" t="s">
        <v>37</v>
      </c>
      <c r="Y22" s="18" t="s">
        <v>37</v>
      </c>
      <c r="Z22" s="18" t="s">
        <v>37</v>
      </c>
      <c r="AA22" s="18" t="s">
        <v>37</v>
      </c>
      <c r="AB22" s="18" t="s">
        <v>37</v>
      </c>
      <c r="AC22" s="18" t="s">
        <v>37</v>
      </c>
      <c r="AD22" s="18" t="s">
        <v>37</v>
      </c>
      <c r="AE22" s="18" t="s">
        <v>37</v>
      </c>
      <c r="AF22" s="18" t="s">
        <v>37</v>
      </c>
      <c r="AG22" s="12" t="b">
        <v>1</v>
      </c>
      <c r="AH22" s="12" t="b">
        <v>1</v>
      </c>
      <c r="AI22" s="12" t="b">
        <v>1</v>
      </c>
      <c r="AJ22" s="12" t="b">
        <v>1</v>
      </c>
    </row>
    <row r="23" spans="1:36" x14ac:dyDescent="0.25">
      <c r="A23" s="8" t="s">
        <v>50</v>
      </c>
      <c r="B23" s="9">
        <v>46195.657829548611</v>
      </c>
      <c r="C23" s="8">
        <v>22</v>
      </c>
      <c r="D23" s="8">
        <v>3</v>
      </c>
      <c r="E23" s="5">
        <v>16</v>
      </c>
      <c r="F23" s="5">
        <v>8</v>
      </c>
      <c r="G23" s="5">
        <v>16</v>
      </c>
      <c r="H23" s="5">
        <v>0</v>
      </c>
      <c r="I23" s="5">
        <v>160</v>
      </c>
      <c r="J23" s="2">
        <v>22</v>
      </c>
      <c r="K23" s="2">
        <v>3</v>
      </c>
      <c r="L23" s="2">
        <v>0</v>
      </c>
      <c r="M23" s="2">
        <v>1</v>
      </c>
      <c r="N23" s="2">
        <v>1</v>
      </c>
      <c r="O23" s="2">
        <v>1</v>
      </c>
      <c r="P23" s="2">
        <v>0</v>
      </c>
      <c r="Q23" s="2">
        <v>7</v>
      </c>
      <c r="R23" s="2">
        <v>350</v>
      </c>
      <c r="S23" s="12">
        <v>735</v>
      </c>
      <c r="T23" s="12">
        <v>9</v>
      </c>
      <c r="U23" s="12">
        <v>1</v>
      </c>
      <c r="V23" s="12">
        <v>10</v>
      </c>
      <c r="W23" s="18" t="s">
        <v>38</v>
      </c>
      <c r="X23" s="18" t="s">
        <v>37</v>
      </c>
      <c r="Y23" s="18" t="s">
        <v>37</v>
      </c>
      <c r="Z23" s="18" t="s">
        <v>37</v>
      </c>
      <c r="AA23" s="18" t="s">
        <v>37</v>
      </c>
      <c r="AB23" s="18" t="s">
        <v>37</v>
      </c>
      <c r="AC23" s="18" t="s">
        <v>37</v>
      </c>
      <c r="AD23" s="18" t="s">
        <v>37</v>
      </c>
      <c r="AE23" s="18" t="s">
        <v>37</v>
      </c>
      <c r="AF23" s="18" t="s">
        <v>37</v>
      </c>
      <c r="AG23" s="12" t="b">
        <v>1</v>
      </c>
      <c r="AH23" s="12" t="b">
        <v>1</v>
      </c>
      <c r="AI23" s="12" t="b">
        <v>1</v>
      </c>
      <c r="AJ23" s="12" t="b">
        <v>1</v>
      </c>
    </row>
    <row r="24" spans="1:36" x14ac:dyDescent="0.25">
      <c r="A24" s="8" t="s">
        <v>51</v>
      </c>
      <c r="B24" s="9">
        <v>46195.657479837959</v>
      </c>
      <c r="C24" s="8">
        <v>23</v>
      </c>
      <c r="D24" s="8">
        <v>3</v>
      </c>
      <c r="E24" s="5">
        <v>19</v>
      </c>
      <c r="F24" s="5">
        <v>7</v>
      </c>
      <c r="G24" s="5">
        <v>18</v>
      </c>
      <c r="H24" s="5">
        <v>1</v>
      </c>
      <c r="I24" s="5">
        <v>210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30</v>
      </c>
      <c r="R24" s="2">
        <v>210</v>
      </c>
      <c r="S24" s="12">
        <v>610</v>
      </c>
      <c r="T24" s="12">
        <v>10</v>
      </c>
      <c r="U24" s="12">
        <v>0</v>
      </c>
      <c r="V24" s="12">
        <v>10</v>
      </c>
      <c r="W24" s="18" t="s">
        <v>37</v>
      </c>
      <c r="X24" s="18" t="s">
        <v>37</v>
      </c>
      <c r="Y24" s="18" t="s">
        <v>37</v>
      </c>
      <c r="Z24" s="18" t="s">
        <v>37</v>
      </c>
      <c r="AA24" s="18" t="s">
        <v>37</v>
      </c>
      <c r="AB24" s="18" t="s">
        <v>37</v>
      </c>
      <c r="AC24" s="18" t="s">
        <v>37</v>
      </c>
      <c r="AD24" s="18" t="s">
        <v>37</v>
      </c>
      <c r="AE24" s="18" t="s">
        <v>37</v>
      </c>
      <c r="AF24" s="18" t="s">
        <v>37</v>
      </c>
      <c r="AG24" s="12" t="b">
        <v>1</v>
      </c>
      <c r="AH24" s="12" t="b">
        <v>1</v>
      </c>
      <c r="AI24" s="12" t="b">
        <v>1</v>
      </c>
      <c r="AJ24" s="12" t="b">
        <v>1</v>
      </c>
    </row>
    <row r="25" spans="1:36" x14ac:dyDescent="0.25">
      <c r="A25" s="8" t="s">
        <v>52</v>
      </c>
      <c r="B25" s="9">
        <v>46195.668297083335</v>
      </c>
      <c r="C25" s="8">
        <v>24</v>
      </c>
      <c r="D25" s="8">
        <v>3</v>
      </c>
      <c r="E25" s="5">
        <v>18</v>
      </c>
      <c r="F25" s="5">
        <v>3</v>
      </c>
      <c r="G25" s="5">
        <v>16</v>
      </c>
      <c r="H25" s="5">
        <v>2</v>
      </c>
      <c r="I25" s="5">
        <v>220</v>
      </c>
      <c r="J25" s="2">
        <v>26</v>
      </c>
      <c r="K25" s="2">
        <v>9</v>
      </c>
      <c r="L25" s="2">
        <v>1</v>
      </c>
      <c r="M25" s="2">
        <v>1</v>
      </c>
      <c r="N25" s="2">
        <v>4</v>
      </c>
      <c r="O25" s="2">
        <v>2</v>
      </c>
      <c r="P25" s="2">
        <v>1</v>
      </c>
      <c r="Q25" s="2">
        <v>4</v>
      </c>
      <c r="R25" s="2">
        <v>390</v>
      </c>
      <c r="S25" s="12">
        <v>790</v>
      </c>
      <c r="T25" s="12">
        <v>10</v>
      </c>
      <c r="U25" s="12">
        <v>0</v>
      </c>
      <c r="V25" s="12">
        <v>10</v>
      </c>
      <c r="W25" s="18" t="s">
        <v>37</v>
      </c>
      <c r="X25" s="18" t="s">
        <v>37</v>
      </c>
      <c r="Y25" s="18" t="s">
        <v>37</v>
      </c>
      <c r="Z25" s="18" t="s">
        <v>37</v>
      </c>
      <c r="AA25" s="18" t="s">
        <v>37</v>
      </c>
      <c r="AB25" s="18" t="s">
        <v>37</v>
      </c>
      <c r="AC25" s="18" t="s">
        <v>37</v>
      </c>
      <c r="AD25" s="18" t="s">
        <v>37</v>
      </c>
      <c r="AE25" s="18" t="s">
        <v>37</v>
      </c>
      <c r="AF25" s="18" t="s">
        <v>37</v>
      </c>
      <c r="AG25" s="12" t="b">
        <v>1</v>
      </c>
      <c r="AH25" s="12" t="b">
        <v>1</v>
      </c>
      <c r="AI25" s="12" t="b">
        <v>1</v>
      </c>
      <c r="AJ25" s="12" t="b">
        <v>1</v>
      </c>
    </row>
    <row r="26" spans="1:36" x14ac:dyDescent="0.25">
      <c r="A26" s="8" t="s">
        <v>53</v>
      </c>
      <c r="B26" s="9">
        <v>46195.663100787038</v>
      </c>
      <c r="C26" s="8">
        <v>25</v>
      </c>
      <c r="D26" s="8">
        <v>3</v>
      </c>
      <c r="E26" s="5">
        <v>14</v>
      </c>
      <c r="F26" s="5">
        <v>3</v>
      </c>
      <c r="G26" s="5">
        <v>11</v>
      </c>
      <c r="H26" s="5">
        <v>3</v>
      </c>
      <c r="I26" s="5">
        <v>200</v>
      </c>
      <c r="J26" s="2">
        <v>2</v>
      </c>
      <c r="K26" s="2">
        <v>7</v>
      </c>
      <c r="L26" s="2">
        <v>1</v>
      </c>
      <c r="M26" s="2">
        <v>2</v>
      </c>
      <c r="N26" s="2">
        <v>0</v>
      </c>
      <c r="O26" s="2">
        <v>2</v>
      </c>
      <c r="P26" s="2">
        <v>2</v>
      </c>
      <c r="Q26" s="2">
        <v>22</v>
      </c>
      <c r="R26" s="2">
        <v>150</v>
      </c>
      <c r="S26" s="12">
        <v>505</v>
      </c>
      <c r="T26" s="12">
        <v>7</v>
      </c>
      <c r="U26" s="12">
        <v>3</v>
      </c>
      <c r="V26" s="12">
        <v>10</v>
      </c>
      <c r="W26" s="18" t="s">
        <v>38</v>
      </c>
      <c r="X26" s="18" t="s">
        <v>38</v>
      </c>
      <c r="Y26" s="18" t="s">
        <v>37</v>
      </c>
      <c r="Z26" s="18" t="s">
        <v>37</v>
      </c>
      <c r="AA26" s="18" t="s">
        <v>38</v>
      </c>
      <c r="AB26" s="18" t="s">
        <v>37</v>
      </c>
      <c r="AC26" s="18" t="s">
        <v>37</v>
      </c>
      <c r="AD26" s="18" t="s">
        <v>37</v>
      </c>
      <c r="AE26" s="18" t="s">
        <v>37</v>
      </c>
      <c r="AF26" s="18" t="s">
        <v>37</v>
      </c>
      <c r="AG26" s="12" t="b">
        <v>1</v>
      </c>
      <c r="AH26" s="12" t="b">
        <v>1</v>
      </c>
      <c r="AI26" s="12" t="b">
        <v>1</v>
      </c>
      <c r="AJ26" s="12" t="b">
        <v>1</v>
      </c>
    </row>
    <row r="27" spans="1:36" x14ac:dyDescent="0.25">
      <c r="A27" s="8" t="s">
        <v>54</v>
      </c>
      <c r="B27" s="9">
        <v>46195.666205034722</v>
      </c>
      <c r="C27" s="8">
        <v>26</v>
      </c>
      <c r="D27" s="8">
        <v>3</v>
      </c>
      <c r="E27" s="5">
        <v>28</v>
      </c>
      <c r="F27" s="5">
        <v>0</v>
      </c>
      <c r="G27" s="5">
        <v>25</v>
      </c>
      <c r="H27" s="5">
        <v>3</v>
      </c>
      <c r="I27" s="5">
        <v>340</v>
      </c>
      <c r="J27" s="2">
        <v>26</v>
      </c>
      <c r="K27" s="2">
        <v>3</v>
      </c>
      <c r="L27" s="2">
        <v>0</v>
      </c>
      <c r="M27" s="2">
        <v>0</v>
      </c>
      <c r="N27" s="2">
        <v>2</v>
      </c>
      <c r="O27" s="2">
        <v>1</v>
      </c>
      <c r="P27" s="2">
        <v>0</v>
      </c>
      <c r="Q27" s="2">
        <v>7</v>
      </c>
      <c r="R27" s="2">
        <v>570</v>
      </c>
      <c r="S27" s="12">
        <v>955</v>
      </c>
      <c r="T27" s="12">
        <v>9</v>
      </c>
      <c r="U27" s="12">
        <v>1</v>
      </c>
      <c r="V27" s="12">
        <v>10</v>
      </c>
      <c r="W27" s="18" t="s">
        <v>37</v>
      </c>
      <c r="X27" s="18" t="s">
        <v>37</v>
      </c>
      <c r="Y27" s="18" t="s">
        <v>37</v>
      </c>
      <c r="Z27" s="18" t="s">
        <v>37</v>
      </c>
      <c r="AA27" s="18" t="s">
        <v>38</v>
      </c>
      <c r="AB27" s="18" t="s">
        <v>37</v>
      </c>
      <c r="AC27" s="18" t="s">
        <v>37</v>
      </c>
      <c r="AD27" s="18" t="s">
        <v>37</v>
      </c>
      <c r="AE27" s="18" t="s">
        <v>37</v>
      </c>
      <c r="AF27" s="18" t="s">
        <v>37</v>
      </c>
      <c r="AG27" s="12" t="b">
        <v>1</v>
      </c>
      <c r="AH27" s="12" t="b">
        <v>1</v>
      </c>
      <c r="AI27" s="12" t="b">
        <v>1</v>
      </c>
      <c r="AJ27" s="12" t="b">
        <v>1</v>
      </c>
    </row>
    <row r="28" spans="1:36" x14ac:dyDescent="0.25">
      <c r="A28" s="8" t="s">
        <v>55</v>
      </c>
      <c r="B28" s="9">
        <v>46195.666755868056</v>
      </c>
      <c r="C28" s="8">
        <v>27</v>
      </c>
      <c r="D28" s="8">
        <v>3</v>
      </c>
      <c r="E28" s="5">
        <v>18</v>
      </c>
      <c r="F28" s="5">
        <v>1</v>
      </c>
      <c r="G28" s="5">
        <v>11</v>
      </c>
      <c r="H28" s="5">
        <v>7</v>
      </c>
      <c r="I28" s="5">
        <v>320</v>
      </c>
      <c r="J28" s="2">
        <v>25</v>
      </c>
      <c r="K28" s="2">
        <v>2</v>
      </c>
      <c r="L28" s="2">
        <v>1</v>
      </c>
      <c r="M28" s="2">
        <v>1</v>
      </c>
      <c r="N28" s="2">
        <v>0</v>
      </c>
      <c r="O28" s="2">
        <v>0</v>
      </c>
      <c r="P28" s="2">
        <v>0</v>
      </c>
      <c r="Q28" s="2">
        <v>2</v>
      </c>
      <c r="R28" s="2">
        <v>550</v>
      </c>
      <c r="S28" s="12">
        <v>950</v>
      </c>
      <c r="T28" s="12">
        <v>10</v>
      </c>
      <c r="U28" s="12">
        <v>0</v>
      </c>
      <c r="V28" s="12">
        <v>10</v>
      </c>
      <c r="W28" s="18" t="s">
        <v>37</v>
      </c>
      <c r="X28" s="18" t="s">
        <v>37</v>
      </c>
      <c r="Y28" s="18" t="s">
        <v>37</v>
      </c>
      <c r="Z28" s="18" t="s">
        <v>37</v>
      </c>
      <c r="AA28" s="18" t="s">
        <v>37</v>
      </c>
      <c r="AB28" s="18" t="s">
        <v>37</v>
      </c>
      <c r="AC28" s="18" t="s">
        <v>37</v>
      </c>
      <c r="AD28" s="18" t="s">
        <v>37</v>
      </c>
      <c r="AE28" s="18" t="s">
        <v>37</v>
      </c>
      <c r="AF28" s="18" t="s">
        <v>37</v>
      </c>
      <c r="AG28" s="12" t="b">
        <v>1</v>
      </c>
      <c r="AH28" s="12" t="b">
        <v>1</v>
      </c>
      <c r="AI28" s="12" t="b">
        <v>1</v>
      </c>
      <c r="AJ28" s="12" t="b">
        <v>1</v>
      </c>
    </row>
    <row r="29" spans="1:36" x14ac:dyDescent="0.25">
      <c r="A29" s="8" t="s">
        <v>56</v>
      </c>
      <c r="B29" s="9">
        <v>46195.665164432867</v>
      </c>
      <c r="C29" s="8">
        <v>28</v>
      </c>
      <c r="D29" s="8">
        <v>3</v>
      </c>
      <c r="E29" s="5">
        <v>24</v>
      </c>
      <c r="F29" s="5">
        <v>4</v>
      </c>
      <c r="G29" s="5">
        <v>17</v>
      </c>
      <c r="H29" s="5">
        <v>7</v>
      </c>
      <c r="I29" s="5">
        <v>380</v>
      </c>
      <c r="J29" s="2">
        <v>25</v>
      </c>
      <c r="K29" s="2">
        <v>9</v>
      </c>
      <c r="L29" s="2">
        <v>3</v>
      </c>
      <c r="M29" s="2">
        <v>1</v>
      </c>
      <c r="N29" s="2">
        <v>1</v>
      </c>
      <c r="O29" s="2">
        <v>2</v>
      </c>
      <c r="P29" s="2">
        <v>2</v>
      </c>
      <c r="Q29" s="2">
        <v>4</v>
      </c>
      <c r="R29" s="2">
        <v>540</v>
      </c>
      <c r="S29" s="12">
        <v>910</v>
      </c>
      <c r="T29" s="12">
        <v>8</v>
      </c>
      <c r="U29" s="12">
        <v>2</v>
      </c>
      <c r="V29" s="12">
        <v>10</v>
      </c>
      <c r="W29" s="18" t="s">
        <v>37</v>
      </c>
      <c r="X29" s="18" t="s">
        <v>38</v>
      </c>
      <c r="Y29" s="18" t="s">
        <v>37</v>
      </c>
      <c r="Z29" s="18" t="s">
        <v>37</v>
      </c>
      <c r="AA29" s="18" t="s">
        <v>37</v>
      </c>
      <c r="AB29" s="18" t="s">
        <v>38</v>
      </c>
      <c r="AC29" s="18" t="s">
        <v>37</v>
      </c>
      <c r="AD29" s="18" t="s">
        <v>37</v>
      </c>
      <c r="AE29" s="18" t="s">
        <v>37</v>
      </c>
      <c r="AF29" s="18" t="s">
        <v>37</v>
      </c>
      <c r="AG29" s="12" t="b">
        <v>1</v>
      </c>
      <c r="AH29" s="12" t="b">
        <v>1</v>
      </c>
      <c r="AI29" s="12" t="b">
        <v>1</v>
      </c>
      <c r="AJ29" s="12" t="b">
        <v>1</v>
      </c>
    </row>
    <row r="30" spans="1:36" x14ac:dyDescent="0.25">
      <c r="A30" s="8" t="s">
        <v>57</v>
      </c>
      <c r="B30" s="9">
        <v>46195.666630798616</v>
      </c>
      <c r="C30" s="8">
        <v>29</v>
      </c>
      <c r="D30" s="8">
        <v>3</v>
      </c>
      <c r="E30" s="5">
        <v>19</v>
      </c>
      <c r="F30" s="5">
        <v>4</v>
      </c>
      <c r="G30" s="5">
        <v>17</v>
      </c>
      <c r="H30" s="5">
        <v>2</v>
      </c>
      <c r="I30" s="5">
        <v>230</v>
      </c>
      <c r="J30" s="2">
        <v>0</v>
      </c>
      <c r="K30" s="2">
        <v>0</v>
      </c>
      <c r="L30" s="2" t="s">
        <v>36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12">
        <v>615</v>
      </c>
      <c r="T30" s="12">
        <v>9</v>
      </c>
      <c r="U30" s="12">
        <v>1</v>
      </c>
      <c r="V30" s="12">
        <v>10</v>
      </c>
      <c r="W30" s="18" t="s">
        <v>38</v>
      </c>
      <c r="X30" s="18" t="s">
        <v>37</v>
      </c>
      <c r="Y30" s="18" t="s">
        <v>37</v>
      </c>
      <c r="Z30" s="18" t="s">
        <v>37</v>
      </c>
      <c r="AA30" s="18" t="s">
        <v>37</v>
      </c>
      <c r="AB30" s="18" t="s">
        <v>37</v>
      </c>
      <c r="AC30" s="18" t="s">
        <v>37</v>
      </c>
      <c r="AD30" s="18" t="s">
        <v>37</v>
      </c>
      <c r="AE30" s="18" t="s">
        <v>37</v>
      </c>
      <c r="AF30" s="18" t="s">
        <v>37</v>
      </c>
      <c r="AG30" s="12" t="b">
        <v>1</v>
      </c>
      <c r="AH30" s="12" t="b">
        <v>1</v>
      </c>
      <c r="AI30" s="12" t="b">
        <v>1</v>
      </c>
      <c r="AJ30" s="12" t="b">
        <v>1</v>
      </c>
    </row>
    <row r="31" spans="1:36" x14ac:dyDescent="0.25">
      <c r="A31" s="8" t="s">
        <v>58</v>
      </c>
      <c r="B31" s="9">
        <v>46195.673720081017</v>
      </c>
      <c r="C31" s="8">
        <v>30</v>
      </c>
      <c r="D31" s="8">
        <v>3</v>
      </c>
      <c r="E31" s="5">
        <v>15</v>
      </c>
      <c r="F31" s="5">
        <v>0</v>
      </c>
      <c r="G31" s="5">
        <v>9</v>
      </c>
      <c r="H31" s="5">
        <v>6</v>
      </c>
      <c r="I31" s="5">
        <v>270</v>
      </c>
      <c r="J31" s="2">
        <v>11</v>
      </c>
      <c r="K31" s="2">
        <v>11</v>
      </c>
      <c r="L31" s="2">
        <v>2</v>
      </c>
      <c r="M31" s="2">
        <v>2</v>
      </c>
      <c r="N31" s="2">
        <v>3</v>
      </c>
      <c r="O31" s="2">
        <v>1</v>
      </c>
      <c r="P31" s="2">
        <v>3</v>
      </c>
      <c r="Q31" s="2">
        <v>18</v>
      </c>
      <c r="R31" s="2">
        <v>270</v>
      </c>
      <c r="S31" s="12">
        <v>655</v>
      </c>
      <c r="T31" s="12">
        <v>9</v>
      </c>
      <c r="U31" s="12">
        <v>1</v>
      </c>
      <c r="V31" s="12">
        <v>10</v>
      </c>
      <c r="W31" s="18" t="s">
        <v>37</v>
      </c>
      <c r="X31" s="18" t="s">
        <v>37</v>
      </c>
      <c r="Y31" s="18" t="s">
        <v>37</v>
      </c>
      <c r="Z31" s="18" t="s">
        <v>37</v>
      </c>
      <c r="AA31" s="18" t="s">
        <v>37</v>
      </c>
      <c r="AB31" s="18" t="s">
        <v>37</v>
      </c>
      <c r="AC31" s="18" t="s">
        <v>38</v>
      </c>
      <c r="AD31" s="18" t="s">
        <v>37</v>
      </c>
      <c r="AE31" s="18" t="s">
        <v>37</v>
      </c>
      <c r="AF31" s="18" t="s">
        <v>37</v>
      </c>
      <c r="AG31" s="12" t="b">
        <v>1</v>
      </c>
      <c r="AH31" s="12" t="b">
        <v>1</v>
      </c>
      <c r="AI31" s="12" t="b">
        <v>1</v>
      </c>
      <c r="AJ31" s="12" t="b">
        <v>1</v>
      </c>
    </row>
    <row r="32" spans="1:36" x14ac:dyDescent="0.25">
      <c r="A32" s="8" t="s">
        <v>59</v>
      </c>
      <c r="B32" s="9">
        <v>46195.673411087962</v>
      </c>
      <c r="C32" s="8">
        <v>31</v>
      </c>
      <c r="D32" s="8">
        <v>3</v>
      </c>
      <c r="E32" s="5">
        <v>23</v>
      </c>
      <c r="F32" s="5">
        <v>7</v>
      </c>
      <c r="G32" s="5">
        <v>21</v>
      </c>
      <c r="H32" s="5">
        <v>2</v>
      </c>
      <c r="I32" s="5">
        <v>270</v>
      </c>
      <c r="J32" s="2">
        <v>21</v>
      </c>
      <c r="K32" s="2">
        <v>2</v>
      </c>
      <c r="L32" s="2">
        <v>1</v>
      </c>
      <c r="M32" s="2">
        <v>0</v>
      </c>
      <c r="N32" s="2">
        <v>0</v>
      </c>
      <c r="O32" s="2">
        <v>1</v>
      </c>
      <c r="P32" s="2">
        <v>0</v>
      </c>
      <c r="Q32" s="2">
        <v>3</v>
      </c>
      <c r="R32" s="2">
        <v>460</v>
      </c>
      <c r="S32" s="12">
        <v>845</v>
      </c>
      <c r="T32" s="12">
        <v>9</v>
      </c>
      <c r="U32" s="12">
        <v>1</v>
      </c>
      <c r="V32" s="12">
        <v>10</v>
      </c>
      <c r="W32" s="18" t="s">
        <v>37</v>
      </c>
      <c r="X32" s="18" t="s">
        <v>37</v>
      </c>
      <c r="Y32" s="18" t="s">
        <v>37</v>
      </c>
      <c r="Z32" s="18" t="s">
        <v>37</v>
      </c>
      <c r="AA32" s="18" t="s">
        <v>37</v>
      </c>
      <c r="AB32" s="18" t="s">
        <v>37</v>
      </c>
      <c r="AC32" s="18" t="s">
        <v>37</v>
      </c>
      <c r="AD32" s="18" t="s">
        <v>37</v>
      </c>
      <c r="AE32" s="18" t="s">
        <v>37</v>
      </c>
      <c r="AF32" s="18" t="s">
        <v>38</v>
      </c>
      <c r="AG32" s="12" t="b">
        <v>1</v>
      </c>
      <c r="AH32" s="12" t="b">
        <v>1</v>
      </c>
      <c r="AI32" s="12" t="b">
        <v>1</v>
      </c>
      <c r="AJ32" s="12" t="b">
        <v>1</v>
      </c>
    </row>
    <row r="33" spans="1:36" x14ac:dyDescent="0.25">
      <c r="A33" s="8" t="s">
        <v>60</v>
      </c>
      <c r="B33" s="9">
        <v>46195.675592129628</v>
      </c>
      <c r="C33" s="8">
        <v>32</v>
      </c>
      <c r="D33" s="8">
        <v>3</v>
      </c>
      <c r="E33" s="5">
        <v>46</v>
      </c>
      <c r="F33" s="5">
        <v>3</v>
      </c>
      <c r="G33" s="5">
        <v>42</v>
      </c>
      <c r="H33" s="5">
        <v>4</v>
      </c>
      <c r="I33" s="5">
        <v>540</v>
      </c>
      <c r="J33" s="2">
        <v>25</v>
      </c>
      <c r="K33" s="2">
        <v>2</v>
      </c>
      <c r="L33" s="2" t="s">
        <v>36</v>
      </c>
      <c r="M33" s="2">
        <v>0</v>
      </c>
      <c r="N33" s="2">
        <v>0</v>
      </c>
      <c r="O33" s="2">
        <v>1</v>
      </c>
      <c r="P33" s="2">
        <v>1</v>
      </c>
      <c r="Q33" s="2">
        <v>1</v>
      </c>
      <c r="R33" s="2">
        <v>770</v>
      </c>
      <c r="S33" s="12">
        <v>1170</v>
      </c>
      <c r="T33" s="12">
        <v>10</v>
      </c>
      <c r="U33" s="12">
        <v>0</v>
      </c>
      <c r="V33" s="12">
        <v>10</v>
      </c>
      <c r="W33" s="18" t="s">
        <v>37</v>
      </c>
      <c r="X33" s="18" t="s">
        <v>37</v>
      </c>
      <c r="Y33" s="18" t="s">
        <v>37</v>
      </c>
      <c r="Z33" s="18" t="s">
        <v>37</v>
      </c>
      <c r="AA33" s="18" t="s">
        <v>37</v>
      </c>
      <c r="AB33" s="18" t="s">
        <v>37</v>
      </c>
      <c r="AC33" s="18" t="s">
        <v>37</v>
      </c>
      <c r="AD33" s="18" t="s">
        <v>37</v>
      </c>
      <c r="AE33" s="18" t="s">
        <v>37</v>
      </c>
      <c r="AF33" s="18" t="s">
        <v>37</v>
      </c>
      <c r="AG33" s="12" t="b">
        <v>1</v>
      </c>
      <c r="AH33" s="12" t="b">
        <v>1</v>
      </c>
      <c r="AI33" s="12" t="b">
        <v>1</v>
      </c>
      <c r="AJ33" s="12" t="b">
        <v>1</v>
      </c>
    </row>
    <row r="34" spans="1:36" x14ac:dyDescent="0.25">
      <c r="A34" s="8" t="s">
        <v>61</v>
      </c>
      <c r="B34" s="9">
        <v>46195.677886446763</v>
      </c>
      <c r="C34" s="8">
        <v>33</v>
      </c>
      <c r="D34" s="8">
        <v>3</v>
      </c>
      <c r="E34" s="5">
        <v>16</v>
      </c>
      <c r="F34" s="5">
        <v>7</v>
      </c>
      <c r="G34" s="5">
        <v>11</v>
      </c>
      <c r="H34" s="5">
        <v>5</v>
      </c>
      <c r="I34" s="5">
        <v>260</v>
      </c>
      <c r="J34" s="2">
        <v>24</v>
      </c>
      <c r="K34" s="2">
        <v>2</v>
      </c>
      <c r="L34" s="2" t="s">
        <v>36</v>
      </c>
      <c r="M34" s="2">
        <v>1</v>
      </c>
      <c r="N34" s="2">
        <v>0</v>
      </c>
      <c r="O34" s="2">
        <v>1</v>
      </c>
      <c r="P34" s="2">
        <v>0</v>
      </c>
      <c r="Q34" s="2">
        <v>5</v>
      </c>
      <c r="R34" s="2">
        <v>480</v>
      </c>
      <c r="S34" s="12">
        <v>805</v>
      </c>
      <c r="T34" s="12">
        <v>5</v>
      </c>
      <c r="U34" s="12">
        <v>5</v>
      </c>
      <c r="V34" s="12">
        <v>10</v>
      </c>
      <c r="W34" s="18" t="s">
        <v>38</v>
      </c>
      <c r="X34" s="18" t="s">
        <v>37</v>
      </c>
      <c r="Y34" s="18" t="s">
        <v>37</v>
      </c>
      <c r="Z34" s="18" t="s">
        <v>38</v>
      </c>
      <c r="AA34" s="18" t="s">
        <v>38</v>
      </c>
      <c r="AB34" s="18" t="s">
        <v>38</v>
      </c>
      <c r="AC34" s="18" t="s">
        <v>37</v>
      </c>
      <c r="AD34" s="18" t="s">
        <v>37</v>
      </c>
      <c r="AE34" s="18" t="s">
        <v>38</v>
      </c>
      <c r="AF34" s="18" t="s">
        <v>37</v>
      </c>
      <c r="AG34" s="12" t="b">
        <v>1</v>
      </c>
      <c r="AH34" s="12" t="b">
        <v>1</v>
      </c>
      <c r="AI34" s="12" t="b">
        <v>1</v>
      </c>
      <c r="AJ34" s="12" t="b">
        <v>1</v>
      </c>
    </row>
    <row r="35" spans="1:36" x14ac:dyDescent="0.25">
      <c r="A35" s="8" t="s">
        <v>62</v>
      </c>
      <c r="B35" s="9">
        <v>46195.676554872683</v>
      </c>
      <c r="C35" s="8">
        <v>34</v>
      </c>
      <c r="D35" s="8">
        <v>3</v>
      </c>
      <c r="E35" s="5">
        <v>29</v>
      </c>
      <c r="F35" s="5">
        <v>4</v>
      </c>
      <c r="G35" s="5">
        <v>27</v>
      </c>
      <c r="H35" s="5">
        <v>2</v>
      </c>
      <c r="I35" s="5">
        <v>330</v>
      </c>
      <c r="J35" s="2">
        <v>17</v>
      </c>
      <c r="K35" s="2">
        <v>3</v>
      </c>
      <c r="L35" s="2">
        <v>1</v>
      </c>
      <c r="M35" s="2">
        <v>0</v>
      </c>
      <c r="N35" s="2">
        <v>1</v>
      </c>
      <c r="O35" s="2">
        <v>0</v>
      </c>
      <c r="P35" s="2">
        <v>1</v>
      </c>
      <c r="Q35" s="2">
        <v>9</v>
      </c>
      <c r="R35" s="2">
        <v>470</v>
      </c>
      <c r="S35" s="12">
        <v>840</v>
      </c>
      <c r="T35" s="12">
        <v>8</v>
      </c>
      <c r="U35" s="12">
        <v>2</v>
      </c>
      <c r="V35" s="12">
        <v>10</v>
      </c>
      <c r="W35" s="18" t="s">
        <v>38</v>
      </c>
      <c r="X35" s="18" t="s">
        <v>37</v>
      </c>
      <c r="Y35" s="18" t="s">
        <v>37</v>
      </c>
      <c r="Z35" s="18" t="s">
        <v>37</v>
      </c>
      <c r="AA35" s="18" t="s">
        <v>37</v>
      </c>
      <c r="AB35" s="18" t="s">
        <v>37</v>
      </c>
      <c r="AC35" s="18" t="s">
        <v>37</v>
      </c>
      <c r="AD35" s="18" t="s">
        <v>38</v>
      </c>
      <c r="AE35" s="18" t="s">
        <v>37</v>
      </c>
      <c r="AF35" s="18" t="s">
        <v>37</v>
      </c>
      <c r="AG35" s="12" t="b">
        <v>1</v>
      </c>
      <c r="AH35" s="12" t="b">
        <v>1</v>
      </c>
      <c r="AI35" s="12" t="b">
        <v>1</v>
      </c>
      <c r="AJ35" s="12" t="b">
        <v>1</v>
      </c>
    </row>
    <row r="36" spans="1:36" x14ac:dyDescent="0.25">
      <c r="A36" s="8" t="s">
        <v>63</v>
      </c>
      <c r="B36" s="9">
        <v>46202.616923032409</v>
      </c>
      <c r="C36" s="8">
        <v>35</v>
      </c>
      <c r="D36" s="8">
        <v>3</v>
      </c>
      <c r="E36" s="5">
        <v>15</v>
      </c>
      <c r="F36" s="5">
        <v>1</v>
      </c>
      <c r="G36" s="5">
        <v>6</v>
      </c>
      <c r="H36" s="5">
        <v>9</v>
      </c>
      <c r="I36" s="5">
        <v>330</v>
      </c>
      <c r="J36" s="2">
        <v>18</v>
      </c>
      <c r="K36" s="2">
        <v>3</v>
      </c>
      <c r="L36" s="2" t="s">
        <v>36</v>
      </c>
      <c r="M36" s="2">
        <v>2</v>
      </c>
      <c r="N36" s="2">
        <v>0</v>
      </c>
      <c r="O36" s="2">
        <v>1</v>
      </c>
      <c r="P36" s="2">
        <v>0</v>
      </c>
      <c r="Q36" s="2">
        <v>3</v>
      </c>
      <c r="R36" s="2">
        <v>480</v>
      </c>
      <c r="S36" s="12">
        <v>880</v>
      </c>
      <c r="T36" s="12">
        <v>10</v>
      </c>
      <c r="U36" s="12">
        <v>0</v>
      </c>
      <c r="V36" s="12">
        <v>10</v>
      </c>
      <c r="W36" s="18" t="s">
        <v>37</v>
      </c>
      <c r="X36" s="18" t="s">
        <v>37</v>
      </c>
      <c r="Y36" s="18" t="s">
        <v>37</v>
      </c>
      <c r="Z36" s="18" t="s">
        <v>37</v>
      </c>
      <c r="AA36" s="18" t="s">
        <v>37</v>
      </c>
      <c r="AB36" s="18" t="s">
        <v>37</v>
      </c>
      <c r="AC36" s="18" t="s">
        <v>37</v>
      </c>
      <c r="AD36" s="18" t="s">
        <v>37</v>
      </c>
      <c r="AE36" s="18" t="s">
        <v>37</v>
      </c>
      <c r="AF36" s="18" t="s">
        <v>37</v>
      </c>
      <c r="AG36" s="12" t="b">
        <v>1</v>
      </c>
      <c r="AH36" s="12" t="b">
        <v>1</v>
      </c>
      <c r="AI36" s="12" t="b">
        <v>1</v>
      </c>
      <c r="AJ36" s="12" t="b">
        <v>1</v>
      </c>
    </row>
    <row r="37" spans="1:36" x14ac:dyDescent="0.25">
      <c r="A37" s="8" t="s">
        <v>64</v>
      </c>
      <c r="B37" s="9">
        <v>46202.615581319449</v>
      </c>
      <c r="C37" s="8">
        <v>36</v>
      </c>
      <c r="D37" s="8">
        <v>3</v>
      </c>
      <c r="E37" s="5">
        <v>18</v>
      </c>
      <c r="F37" s="5">
        <v>1</v>
      </c>
      <c r="G37" s="5">
        <v>14</v>
      </c>
      <c r="H37" s="5">
        <v>4</v>
      </c>
      <c r="I37" s="5">
        <v>260</v>
      </c>
      <c r="J37" s="2">
        <v>3</v>
      </c>
      <c r="K37" s="2">
        <v>4</v>
      </c>
      <c r="L37" s="2">
        <v>1</v>
      </c>
      <c r="M37" s="2">
        <v>1</v>
      </c>
      <c r="N37" s="2">
        <v>0</v>
      </c>
      <c r="O37" s="2">
        <v>0</v>
      </c>
      <c r="P37" s="2">
        <v>2</v>
      </c>
      <c r="Q37" s="2">
        <v>27</v>
      </c>
      <c r="R37" s="2">
        <v>250</v>
      </c>
      <c r="S37" s="12">
        <v>620</v>
      </c>
      <c r="T37" s="12">
        <v>8</v>
      </c>
      <c r="U37" s="12">
        <v>2</v>
      </c>
      <c r="V37" s="12">
        <v>10</v>
      </c>
      <c r="W37" s="18" t="s">
        <v>38</v>
      </c>
      <c r="X37" s="18" t="s">
        <v>37</v>
      </c>
      <c r="Y37" s="18" t="s">
        <v>37</v>
      </c>
      <c r="Z37" s="18" t="s">
        <v>37</v>
      </c>
      <c r="AA37" s="18" t="s">
        <v>38</v>
      </c>
      <c r="AB37" s="18" t="s">
        <v>37</v>
      </c>
      <c r="AC37" s="18" t="s">
        <v>37</v>
      </c>
      <c r="AD37" s="18" t="s">
        <v>37</v>
      </c>
      <c r="AE37" s="18" t="s">
        <v>37</v>
      </c>
      <c r="AF37" s="18" t="s">
        <v>37</v>
      </c>
      <c r="AG37" s="12" t="b">
        <v>1</v>
      </c>
      <c r="AH37" s="12" t="b">
        <v>1</v>
      </c>
      <c r="AI37" s="12" t="b">
        <v>1</v>
      </c>
      <c r="AJ37" s="12" t="b">
        <v>1</v>
      </c>
    </row>
    <row r="38" spans="1:36" s="20" customFormat="1" x14ac:dyDescent="0.25">
      <c r="A38" s="8" t="s">
        <v>65</v>
      </c>
      <c r="B38" s="9">
        <v>46202.622157291669</v>
      </c>
      <c r="C38" s="8">
        <v>37</v>
      </c>
      <c r="D38" s="8">
        <v>4</v>
      </c>
      <c r="E38" s="5">
        <v>13</v>
      </c>
      <c r="F38" s="5">
        <v>0</v>
      </c>
      <c r="G38" s="5">
        <v>7</v>
      </c>
      <c r="H38" s="5">
        <v>6</v>
      </c>
      <c r="I38" s="5">
        <v>250</v>
      </c>
      <c r="J38" s="2">
        <v>23</v>
      </c>
      <c r="K38" s="2">
        <v>6</v>
      </c>
      <c r="L38" s="2">
        <v>1</v>
      </c>
      <c r="M38" s="2">
        <v>2</v>
      </c>
      <c r="N38" s="2">
        <v>1</v>
      </c>
      <c r="O38" s="2">
        <v>1</v>
      </c>
      <c r="P38" s="2">
        <v>1</v>
      </c>
      <c r="Q38" s="2">
        <v>2</v>
      </c>
      <c r="R38" s="2">
        <v>420</v>
      </c>
      <c r="S38" s="12">
        <v>820</v>
      </c>
      <c r="T38" s="12">
        <v>10</v>
      </c>
      <c r="U38" s="12">
        <v>0</v>
      </c>
      <c r="V38" s="12">
        <v>10</v>
      </c>
      <c r="W38" s="18" t="s">
        <v>37</v>
      </c>
      <c r="X38" s="18" t="s">
        <v>37</v>
      </c>
      <c r="Y38" s="18" t="s">
        <v>37</v>
      </c>
      <c r="Z38" s="18" t="s">
        <v>37</v>
      </c>
      <c r="AA38" s="18" t="s">
        <v>37</v>
      </c>
      <c r="AB38" s="18" t="s">
        <v>37</v>
      </c>
      <c r="AC38" s="18" t="s">
        <v>37</v>
      </c>
      <c r="AD38" s="18" t="s">
        <v>37</v>
      </c>
      <c r="AE38" s="18" t="s">
        <v>37</v>
      </c>
      <c r="AF38" s="18" t="s">
        <v>37</v>
      </c>
      <c r="AG38" s="12" t="b">
        <v>1</v>
      </c>
      <c r="AH38" s="12" t="b">
        <v>1</v>
      </c>
      <c r="AI38" s="12" t="b">
        <v>1</v>
      </c>
      <c r="AJ38" s="12" t="b">
        <v>1</v>
      </c>
    </row>
    <row r="39" spans="1:36" s="20" customFormat="1" x14ac:dyDescent="0.25">
      <c r="A39" s="8" t="s">
        <v>66</v>
      </c>
      <c r="B39" s="9">
        <v>46202.613446932868</v>
      </c>
      <c r="C39" s="8">
        <v>38</v>
      </c>
      <c r="D39" s="8">
        <v>4</v>
      </c>
      <c r="E39" s="5">
        <v>16</v>
      </c>
      <c r="F39" s="5">
        <v>8</v>
      </c>
      <c r="G39" s="5">
        <v>12</v>
      </c>
      <c r="H39" s="5">
        <v>4</v>
      </c>
      <c r="I39" s="5">
        <v>240</v>
      </c>
      <c r="J39" s="2">
        <v>7</v>
      </c>
      <c r="K39" s="2">
        <v>13</v>
      </c>
      <c r="L39" s="2">
        <v>3</v>
      </c>
      <c r="M39" s="2">
        <v>2</v>
      </c>
      <c r="N39" s="2">
        <v>3</v>
      </c>
      <c r="O39" s="2">
        <v>1</v>
      </c>
      <c r="P39" s="2">
        <v>4</v>
      </c>
      <c r="Q39" s="2">
        <v>22</v>
      </c>
      <c r="R39" s="2">
        <v>180</v>
      </c>
      <c r="S39" s="12">
        <v>580</v>
      </c>
      <c r="T39" s="12">
        <v>10</v>
      </c>
      <c r="U39" s="12">
        <v>0</v>
      </c>
      <c r="V39" s="12">
        <v>10</v>
      </c>
      <c r="W39" s="18" t="s">
        <v>37</v>
      </c>
      <c r="X39" s="18" t="s">
        <v>37</v>
      </c>
      <c r="Y39" s="18" t="s">
        <v>37</v>
      </c>
      <c r="Z39" s="18" t="s">
        <v>37</v>
      </c>
      <c r="AA39" s="18" t="s">
        <v>37</v>
      </c>
      <c r="AB39" s="18" t="s">
        <v>37</v>
      </c>
      <c r="AC39" s="18" t="s">
        <v>37</v>
      </c>
      <c r="AD39" s="18" t="s">
        <v>37</v>
      </c>
      <c r="AE39" s="18" t="s">
        <v>37</v>
      </c>
      <c r="AF39" s="18" t="s">
        <v>37</v>
      </c>
      <c r="AG39" s="12" t="b">
        <v>1</v>
      </c>
      <c r="AH39" s="12" t="b">
        <v>1</v>
      </c>
      <c r="AI39" s="12" t="b">
        <v>1</v>
      </c>
      <c r="AJ39" s="12" t="b">
        <v>1</v>
      </c>
    </row>
    <row r="40" spans="1:36" s="20" customFormat="1" x14ac:dyDescent="0.25">
      <c r="A40" s="8" t="s">
        <v>67</v>
      </c>
      <c r="B40" s="9">
        <v>46202.615478993059</v>
      </c>
      <c r="C40" s="8">
        <v>39</v>
      </c>
      <c r="D40" s="8">
        <v>4</v>
      </c>
      <c r="E40" s="5">
        <v>18</v>
      </c>
      <c r="F40" s="5">
        <v>13</v>
      </c>
      <c r="G40" s="5">
        <v>18</v>
      </c>
      <c r="H40" s="5">
        <v>0</v>
      </c>
      <c r="I40" s="5">
        <v>180</v>
      </c>
      <c r="J40" s="2">
        <v>25</v>
      </c>
      <c r="K40" s="2">
        <v>7</v>
      </c>
      <c r="L40" s="2">
        <v>3</v>
      </c>
      <c r="M40" s="2">
        <v>2</v>
      </c>
      <c r="N40" s="2">
        <v>0</v>
      </c>
      <c r="O40" s="2">
        <v>0</v>
      </c>
      <c r="P40" s="2">
        <v>2</v>
      </c>
      <c r="Q40" s="2">
        <v>0</v>
      </c>
      <c r="R40" s="2">
        <v>360</v>
      </c>
      <c r="S40" s="12">
        <v>685</v>
      </c>
      <c r="T40" s="12">
        <v>5</v>
      </c>
      <c r="U40" s="12">
        <v>5</v>
      </c>
      <c r="V40" s="12">
        <v>10</v>
      </c>
      <c r="W40" s="18" t="s">
        <v>37</v>
      </c>
      <c r="X40" s="18" t="s">
        <v>37</v>
      </c>
      <c r="Y40" s="18" t="s">
        <v>37</v>
      </c>
      <c r="Z40" s="18" t="s">
        <v>38</v>
      </c>
      <c r="AA40" s="18" t="s">
        <v>38</v>
      </c>
      <c r="AB40" s="18" t="s">
        <v>37</v>
      </c>
      <c r="AC40" s="18" t="s">
        <v>38</v>
      </c>
      <c r="AD40" s="18" t="s">
        <v>38</v>
      </c>
      <c r="AE40" s="18" t="s">
        <v>37</v>
      </c>
      <c r="AF40" s="18" t="s">
        <v>38</v>
      </c>
      <c r="AG40" s="12" t="b">
        <v>1</v>
      </c>
      <c r="AH40" s="12" t="b">
        <v>1</v>
      </c>
      <c r="AI40" s="12" t="b">
        <v>1</v>
      </c>
      <c r="AJ40" s="12" t="b">
        <v>1</v>
      </c>
    </row>
    <row r="41" spans="1:36" s="20" customFormat="1" x14ac:dyDescent="0.25">
      <c r="A41" s="8" t="s">
        <v>68</v>
      </c>
      <c r="B41" s="9">
        <v>46202.614654583333</v>
      </c>
      <c r="C41" s="8">
        <v>40</v>
      </c>
      <c r="D41" s="8">
        <v>4</v>
      </c>
      <c r="E41" s="5">
        <v>13</v>
      </c>
      <c r="F41" s="5">
        <v>15</v>
      </c>
      <c r="G41" s="5">
        <v>8</v>
      </c>
      <c r="H41" s="5">
        <v>5</v>
      </c>
      <c r="I41" s="5">
        <v>230</v>
      </c>
      <c r="J41" s="2">
        <v>11</v>
      </c>
      <c r="K41" s="2">
        <v>3</v>
      </c>
      <c r="L41" s="2">
        <v>0</v>
      </c>
      <c r="M41" s="2">
        <v>2</v>
      </c>
      <c r="N41" s="2">
        <v>0</v>
      </c>
      <c r="O41" s="2">
        <v>1</v>
      </c>
      <c r="P41" s="2">
        <v>0</v>
      </c>
      <c r="Q41" s="2">
        <v>4</v>
      </c>
      <c r="R41" s="2">
        <v>310</v>
      </c>
      <c r="S41" s="12">
        <v>710</v>
      </c>
      <c r="T41" s="12">
        <v>10</v>
      </c>
      <c r="U41" s="12">
        <v>0</v>
      </c>
      <c r="V41" s="12">
        <v>10</v>
      </c>
      <c r="W41" s="18" t="s">
        <v>37</v>
      </c>
      <c r="X41" s="18" t="s">
        <v>37</v>
      </c>
      <c r="Y41" s="18" t="s">
        <v>37</v>
      </c>
      <c r="Z41" s="18" t="s">
        <v>37</v>
      </c>
      <c r="AA41" s="18" t="s">
        <v>37</v>
      </c>
      <c r="AB41" s="18" t="s">
        <v>37</v>
      </c>
      <c r="AC41" s="18" t="s">
        <v>37</v>
      </c>
      <c r="AD41" s="18" t="s">
        <v>37</v>
      </c>
      <c r="AE41" s="18" t="s">
        <v>37</v>
      </c>
      <c r="AF41" s="18" t="s">
        <v>37</v>
      </c>
      <c r="AG41" s="12" t="b">
        <v>1</v>
      </c>
      <c r="AH41" s="12" t="b">
        <v>1</v>
      </c>
      <c r="AI41" s="12" t="b">
        <v>1</v>
      </c>
      <c r="AJ41" s="12" t="b">
        <v>1</v>
      </c>
    </row>
    <row r="42" spans="1:36" s="20" customFormat="1" x14ac:dyDescent="0.25">
      <c r="A42" s="8" t="s">
        <v>69</v>
      </c>
      <c r="B42" s="9">
        <v>46202.618109583331</v>
      </c>
      <c r="C42" s="8">
        <v>41</v>
      </c>
      <c r="D42" s="8">
        <v>4</v>
      </c>
      <c r="E42" s="5">
        <v>15</v>
      </c>
      <c r="F42" s="5">
        <v>10</v>
      </c>
      <c r="G42" s="5">
        <v>15</v>
      </c>
      <c r="H42" s="5">
        <v>0</v>
      </c>
      <c r="I42" s="5">
        <v>150</v>
      </c>
      <c r="J42" s="2">
        <v>20</v>
      </c>
      <c r="K42" s="2">
        <v>1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5</v>
      </c>
      <c r="R42" s="2">
        <v>340</v>
      </c>
      <c r="S42" s="12">
        <v>710</v>
      </c>
      <c r="T42" s="12">
        <v>8</v>
      </c>
      <c r="U42" s="12">
        <v>2</v>
      </c>
      <c r="V42" s="12">
        <v>10</v>
      </c>
      <c r="W42" s="18" t="s">
        <v>37</v>
      </c>
      <c r="X42" s="18" t="s">
        <v>37</v>
      </c>
      <c r="Y42" s="18" t="s">
        <v>38</v>
      </c>
      <c r="Z42" s="18" t="s">
        <v>37</v>
      </c>
      <c r="AA42" s="18" t="s">
        <v>38</v>
      </c>
      <c r="AB42" s="18" t="s">
        <v>37</v>
      </c>
      <c r="AC42" s="18" t="s">
        <v>37</v>
      </c>
      <c r="AD42" s="18" t="s">
        <v>37</v>
      </c>
      <c r="AE42" s="18" t="s">
        <v>37</v>
      </c>
      <c r="AF42" s="18" t="s">
        <v>37</v>
      </c>
      <c r="AG42" s="12" t="b">
        <v>1</v>
      </c>
      <c r="AH42" s="12" t="b">
        <v>1</v>
      </c>
      <c r="AI42" s="12" t="b">
        <v>1</v>
      </c>
      <c r="AJ42" s="12" t="b">
        <v>1</v>
      </c>
    </row>
    <row r="43" spans="1:36" s="20" customFormat="1" x14ac:dyDescent="0.25">
      <c r="A43" s="8" t="s">
        <v>70</v>
      </c>
      <c r="B43" s="9">
        <v>46202.622044988428</v>
      </c>
      <c r="C43" s="8">
        <v>42</v>
      </c>
      <c r="D43" s="8">
        <v>4</v>
      </c>
      <c r="E43" s="5">
        <v>14</v>
      </c>
      <c r="F43" s="5">
        <v>14</v>
      </c>
      <c r="G43" s="5">
        <v>14</v>
      </c>
      <c r="H43" s="5">
        <v>0</v>
      </c>
      <c r="I43" s="5">
        <v>140</v>
      </c>
      <c r="J43" s="2">
        <v>21</v>
      </c>
      <c r="K43" s="2">
        <v>9</v>
      </c>
      <c r="L43" s="2">
        <v>2</v>
      </c>
      <c r="M43" s="2">
        <v>3</v>
      </c>
      <c r="N43" s="2">
        <v>4</v>
      </c>
      <c r="O43" s="2">
        <v>0</v>
      </c>
      <c r="P43" s="2">
        <v>0</v>
      </c>
      <c r="Q43" s="2">
        <v>14</v>
      </c>
      <c r="R43" s="2">
        <v>260</v>
      </c>
      <c r="S43" s="12">
        <v>645</v>
      </c>
      <c r="T43" s="12">
        <v>9</v>
      </c>
      <c r="U43" s="12">
        <v>1</v>
      </c>
      <c r="V43" s="12">
        <v>10</v>
      </c>
      <c r="W43" s="18" t="s">
        <v>38</v>
      </c>
      <c r="X43" s="18" t="s">
        <v>37</v>
      </c>
      <c r="Y43" s="18" t="s">
        <v>37</v>
      </c>
      <c r="Z43" s="18" t="s">
        <v>37</v>
      </c>
      <c r="AA43" s="18" t="s">
        <v>37</v>
      </c>
      <c r="AB43" s="18" t="s">
        <v>37</v>
      </c>
      <c r="AC43" s="18" t="s">
        <v>37</v>
      </c>
      <c r="AD43" s="18" t="s">
        <v>37</v>
      </c>
      <c r="AE43" s="18" t="s">
        <v>37</v>
      </c>
      <c r="AF43" s="18" t="s">
        <v>37</v>
      </c>
      <c r="AG43" s="12" t="b">
        <v>1</v>
      </c>
      <c r="AH43" s="12" t="b">
        <v>1</v>
      </c>
      <c r="AI43" s="12" t="b">
        <v>1</v>
      </c>
      <c r="AJ43" s="12" t="b">
        <v>1</v>
      </c>
    </row>
    <row r="44" spans="1:36" s="20" customFormat="1" x14ac:dyDescent="0.25">
      <c r="A44" s="8" t="s">
        <v>71</v>
      </c>
      <c r="B44" s="9">
        <v>46202.620175104166</v>
      </c>
      <c r="C44" s="8">
        <v>43</v>
      </c>
      <c r="D44" s="8">
        <v>4</v>
      </c>
      <c r="E44" s="5">
        <v>14</v>
      </c>
      <c r="F44" s="5">
        <v>11</v>
      </c>
      <c r="G44" s="5">
        <v>13</v>
      </c>
      <c r="H44" s="5">
        <v>1</v>
      </c>
      <c r="I44" s="5">
        <v>160</v>
      </c>
      <c r="J44" s="2">
        <v>16</v>
      </c>
      <c r="K44" s="2">
        <v>4</v>
      </c>
      <c r="L44" s="2">
        <v>2</v>
      </c>
      <c r="M44" s="2">
        <v>1</v>
      </c>
      <c r="N44" s="2">
        <v>0</v>
      </c>
      <c r="O44" s="2">
        <v>1</v>
      </c>
      <c r="P44" s="2">
        <v>0</v>
      </c>
      <c r="Q44" s="2">
        <v>13</v>
      </c>
      <c r="R44" s="2">
        <v>280</v>
      </c>
      <c r="S44" s="12">
        <v>665</v>
      </c>
      <c r="T44" s="12">
        <v>9</v>
      </c>
      <c r="U44" s="12">
        <v>1</v>
      </c>
      <c r="V44" s="12">
        <v>10</v>
      </c>
      <c r="W44" s="18" t="s">
        <v>37</v>
      </c>
      <c r="X44" s="18" t="s">
        <v>37</v>
      </c>
      <c r="Y44" s="18" t="s">
        <v>37</v>
      </c>
      <c r="Z44" s="18" t="s">
        <v>37</v>
      </c>
      <c r="AA44" s="18" t="s">
        <v>38</v>
      </c>
      <c r="AB44" s="18" t="s">
        <v>37</v>
      </c>
      <c r="AC44" s="18" t="s">
        <v>37</v>
      </c>
      <c r="AD44" s="18" t="s">
        <v>37</v>
      </c>
      <c r="AE44" s="18" t="s">
        <v>37</v>
      </c>
      <c r="AF44" s="18" t="s">
        <v>37</v>
      </c>
      <c r="AG44" s="12" t="b">
        <v>1</v>
      </c>
      <c r="AH44" s="12" t="b">
        <v>1</v>
      </c>
      <c r="AI44" s="12" t="b">
        <v>1</v>
      </c>
      <c r="AJ44" s="12" t="b">
        <v>1</v>
      </c>
    </row>
    <row r="45" spans="1:36" s="20" customFormat="1" x14ac:dyDescent="0.25">
      <c r="A45" s="8" t="s">
        <v>72</v>
      </c>
      <c r="B45" s="9">
        <v>46202.625021851854</v>
      </c>
      <c r="C45" s="8">
        <v>44</v>
      </c>
      <c r="D45" s="8">
        <v>4</v>
      </c>
      <c r="E45" s="5">
        <v>13</v>
      </c>
      <c r="F45" s="5">
        <v>8</v>
      </c>
      <c r="G45" s="5">
        <v>13</v>
      </c>
      <c r="H45" s="5">
        <v>0</v>
      </c>
      <c r="I45" s="5">
        <v>130</v>
      </c>
      <c r="J45" s="2">
        <v>21</v>
      </c>
      <c r="K45" s="2">
        <v>4</v>
      </c>
      <c r="L45" s="2">
        <v>1</v>
      </c>
      <c r="M45" s="2">
        <v>1</v>
      </c>
      <c r="N45" s="2">
        <v>1</v>
      </c>
      <c r="O45" s="2">
        <v>1</v>
      </c>
      <c r="P45" s="2">
        <v>0</v>
      </c>
      <c r="Q45" s="2">
        <v>2</v>
      </c>
      <c r="R45" s="2">
        <v>300</v>
      </c>
      <c r="S45" s="12">
        <v>700</v>
      </c>
      <c r="T45" s="12">
        <v>10</v>
      </c>
      <c r="U45" s="12">
        <v>0</v>
      </c>
      <c r="V45" s="12">
        <v>10</v>
      </c>
      <c r="W45" s="18" t="s">
        <v>37</v>
      </c>
      <c r="X45" s="18" t="s">
        <v>37</v>
      </c>
      <c r="Y45" s="18" t="s">
        <v>37</v>
      </c>
      <c r="Z45" s="18" t="s">
        <v>37</v>
      </c>
      <c r="AA45" s="18" t="s">
        <v>37</v>
      </c>
      <c r="AB45" s="18" t="s">
        <v>37</v>
      </c>
      <c r="AC45" s="18" t="s">
        <v>37</v>
      </c>
      <c r="AD45" s="18" t="s">
        <v>37</v>
      </c>
      <c r="AE45" s="18" t="s">
        <v>37</v>
      </c>
      <c r="AF45" s="18" t="s">
        <v>37</v>
      </c>
      <c r="AG45" s="12" t="b">
        <v>1</v>
      </c>
      <c r="AH45" s="12" t="b">
        <v>1</v>
      </c>
      <c r="AI45" s="12" t="b">
        <v>1</v>
      </c>
      <c r="AJ45" s="12" t="b">
        <v>1</v>
      </c>
    </row>
    <row r="46" spans="1:36" s="20" customFormat="1" x14ac:dyDescent="0.25">
      <c r="A46" s="8" t="s">
        <v>73</v>
      </c>
      <c r="B46" s="9">
        <v>46202.624492986113</v>
      </c>
      <c r="C46" s="8">
        <v>46</v>
      </c>
      <c r="D46" s="8">
        <v>4</v>
      </c>
      <c r="E46" s="5">
        <v>20</v>
      </c>
      <c r="F46" s="5">
        <v>0</v>
      </c>
      <c r="G46" s="5">
        <v>14</v>
      </c>
      <c r="H46" s="5">
        <v>6</v>
      </c>
      <c r="I46" s="5">
        <v>320</v>
      </c>
      <c r="J46" s="2">
        <v>23</v>
      </c>
      <c r="K46" s="2">
        <v>4</v>
      </c>
      <c r="L46" s="2">
        <v>1</v>
      </c>
      <c r="M46" s="2">
        <v>1</v>
      </c>
      <c r="N46" s="2">
        <v>0</v>
      </c>
      <c r="O46" s="2">
        <v>1</v>
      </c>
      <c r="P46" s="2">
        <v>1</v>
      </c>
      <c r="Q46" s="2">
        <v>5</v>
      </c>
      <c r="R46" s="2">
        <v>510</v>
      </c>
      <c r="S46" s="12">
        <v>880</v>
      </c>
      <c r="T46" s="12">
        <v>8</v>
      </c>
      <c r="U46" s="12">
        <v>2</v>
      </c>
      <c r="V46" s="12">
        <v>10</v>
      </c>
      <c r="W46" s="18" t="s">
        <v>38</v>
      </c>
      <c r="X46" s="18" t="s">
        <v>37</v>
      </c>
      <c r="Y46" s="18" t="s">
        <v>37</v>
      </c>
      <c r="Z46" s="18" t="s">
        <v>37</v>
      </c>
      <c r="AA46" s="18" t="s">
        <v>37</v>
      </c>
      <c r="AB46" s="18" t="s">
        <v>37</v>
      </c>
      <c r="AC46" s="18" t="s">
        <v>37</v>
      </c>
      <c r="AD46" s="18" t="s">
        <v>38</v>
      </c>
      <c r="AE46" s="18" t="s">
        <v>37</v>
      </c>
      <c r="AF46" s="18" t="s">
        <v>37</v>
      </c>
      <c r="AG46" s="12" t="b">
        <v>1</v>
      </c>
      <c r="AH46" s="12" t="b">
        <v>1</v>
      </c>
      <c r="AI46" s="12" t="b">
        <v>1</v>
      </c>
      <c r="AJ46" s="12" t="b">
        <v>1</v>
      </c>
    </row>
    <row r="47" spans="1:36" s="20" customFormat="1" x14ac:dyDescent="0.25">
      <c r="A47" s="8" t="s">
        <v>74</v>
      </c>
      <c r="B47" s="9">
        <v>46202.631561875001</v>
      </c>
      <c r="C47" s="8">
        <v>48</v>
      </c>
      <c r="D47" s="8">
        <v>4</v>
      </c>
      <c r="E47" s="5">
        <v>6</v>
      </c>
      <c r="F47" s="5">
        <v>4</v>
      </c>
      <c r="G47" s="5">
        <v>6</v>
      </c>
      <c r="H47" s="5">
        <v>0</v>
      </c>
      <c r="I47" s="5">
        <v>60</v>
      </c>
      <c r="J47" s="2">
        <v>28</v>
      </c>
      <c r="K47" s="2">
        <v>3</v>
      </c>
      <c r="L47" s="2">
        <v>1</v>
      </c>
      <c r="M47" s="2">
        <v>1</v>
      </c>
      <c r="N47" s="2">
        <v>0</v>
      </c>
      <c r="O47" s="2">
        <v>1</v>
      </c>
      <c r="P47" s="2">
        <v>0</v>
      </c>
      <c r="Q47" s="2">
        <v>3</v>
      </c>
      <c r="R47" s="2">
        <v>310</v>
      </c>
      <c r="S47" s="12">
        <v>665</v>
      </c>
      <c r="T47" s="12">
        <v>7</v>
      </c>
      <c r="U47" s="12">
        <v>3</v>
      </c>
      <c r="V47" s="12">
        <v>10</v>
      </c>
      <c r="W47" s="18" t="s">
        <v>38</v>
      </c>
      <c r="X47" s="18" t="s">
        <v>37</v>
      </c>
      <c r="Y47" s="18" t="s">
        <v>37</v>
      </c>
      <c r="Z47" s="18" t="s">
        <v>37</v>
      </c>
      <c r="AA47" s="18" t="s">
        <v>38</v>
      </c>
      <c r="AB47" s="18" t="s">
        <v>37</v>
      </c>
      <c r="AC47" s="18" t="s">
        <v>37</v>
      </c>
      <c r="AD47" s="18" t="s">
        <v>37</v>
      </c>
      <c r="AE47" s="18" t="s">
        <v>37</v>
      </c>
      <c r="AF47" s="18" t="s">
        <v>38</v>
      </c>
      <c r="AG47" s="12" t="b">
        <v>1</v>
      </c>
      <c r="AH47" s="12" t="b">
        <v>1</v>
      </c>
      <c r="AI47" s="12" t="b">
        <v>1</v>
      </c>
      <c r="AJ47" s="12" t="b">
        <v>1</v>
      </c>
    </row>
    <row r="48" spans="1:36" s="20" customFormat="1" x14ac:dyDescent="0.25">
      <c r="A48" s="8" t="s">
        <v>75</v>
      </c>
      <c r="B48" s="9">
        <v>46202.628925324076</v>
      </c>
      <c r="C48" s="8">
        <v>49</v>
      </c>
      <c r="D48" s="8">
        <v>4</v>
      </c>
      <c r="E48" s="5">
        <v>15</v>
      </c>
      <c r="F48" s="5">
        <v>15</v>
      </c>
      <c r="G48" s="5">
        <v>15</v>
      </c>
      <c r="H48" s="5">
        <v>0</v>
      </c>
      <c r="I48" s="5">
        <v>150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30</v>
      </c>
      <c r="R48" s="2">
        <v>150</v>
      </c>
      <c r="S48" s="12">
        <v>550</v>
      </c>
      <c r="T48" s="12">
        <v>10</v>
      </c>
      <c r="U48" s="12">
        <v>0</v>
      </c>
      <c r="V48" s="12">
        <v>10</v>
      </c>
      <c r="W48" s="18" t="s">
        <v>37</v>
      </c>
      <c r="X48" s="18" t="s">
        <v>37</v>
      </c>
      <c r="Y48" s="18" t="s">
        <v>37</v>
      </c>
      <c r="Z48" s="18" t="s">
        <v>37</v>
      </c>
      <c r="AA48" s="18" t="s">
        <v>37</v>
      </c>
      <c r="AB48" s="18" t="s">
        <v>37</v>
      </c>
      <c r="AC48" s="18" t="s">
        <v>37</v>
      </c>
      <c r="AD48" s="18" t="s">
        <v>37</v>
      </c>
      <c r="AE48" s="18" t="s">
        <v>37</v>
      </c>
      <c r="AF48" s="18" t="s">
        <v>37</v>
      </c>
      <c r="AG48" s="12" t="b">
        <v>1</v>
      </c>
      <c r="AH48" s="12" t="b">
        <v>1</v>
      </c>
      <c r="AI48" s="12" t="b">
        <v>1</v>
      </c>
      <c r="AJ48" s="12" t="b">
        <v>1</v>
      </c>
    </row>
    <row r="49" spans="1:36" s="20" customFormat="1" x14ac:dyDescent="0.25">
      <c r="A49" s="8" t="s">
        <v>76</v>
      </c>
      <c r="B49" s="9">
        <v>46202.630658032409</v>
      </c>
      <c r="C49" s="8">
        <v>50</v>
      </c>
      <c r="D49" s="8">
        <v>4</v>
      </c>
      <c r="E49" s="5">
        <v>2</v>
      </c>
      <c r="F49" s="5">
        <v>18</v>
      </c>
      <c r="G49" s="5">
        <v>2</v>
      </c>
      <c r="H49" s="5">
        <v>0</v>
      </c>
      <c r="I49" s="5">
        <v>20</v>
      </c>
      <c r="J49" s="2">
        <v>15</v>
      </c>
      <c r="K49" s="2">
        <v>6</v>
      </c>
      <c r="L49" s="2">
        <v>1</v>
      </c>
      <c r="M49" s="2">
        <v>1</v>
      </c>
      <c r="N49" s="2">
        <v>1</v>
      </c>
      <c r="O49" s="2">
        <v>2</v>
      </c>
      <c r="P49" s="2">
        <v>1</v>
      </c>
      <c r="Q49" s="2">
        <v>5</v>
      </c>
      <c r="R49" s="2">
        <v>110</v>
      </c>
      <c r="S49" s="12">
        <v>510</v>
      </c>
      <c r="T49" s="12">
        <v>10</v>
      </c>
      <c r="U49" s="12">
        <v>0</v>
      </c>
      <c r="V49" s="12">
        <v>10</v>
      </c>
      <c r="W49" s="18" t="s">
        <v>37</v>
      </c>
      <c r="X49" s="18" t="s">
        <v>37</v>
      </c>
      <c r="Y49" s="18" t="s">
        <v>37</v>
      </c>
      <c r="Z49" s="18" t="s">
        <v>37</v>
      </c>
      <c r="AA49" s="18" t="s">
        <v>37</v>
      </c>
      <c r="AB49" s="18" t="s">
        <v>37</v>
      </c>
      <c r="AC49" s="18" t="s">
        <v>37</v>
      </c>
      <c r="AD49" s="18" t="s">
        <v>37</v>
      </c>
      <c r="AE49" s="18" t="s">
        <v>37</v>
      </c>
      <c r="AF49" s="18" t="s">
        <v>37</v>
      </c>
      <c r="AG49" s="12" t="b">
        <v>1</v>
      </c>
      <c r="AH49" s="12" t="b">
        <v>1</v>
      </c>
      <c r="AI49" s="12" t="b">
        <v>1</v>
      </c>
      <c r="AJ49" s="12" t="b">
        <v>1</v>
      </c>
    </row>
    <row r="50" spans="1:36" s="20" customFormat="1" x14ac:dyDescent="0.25">
      <c r="A50" s="8" t="s">
        <v>77</v>
      </c>
      <c r="B50" s="9">
        <v>46202.631746064813</v>
      </c>
      <c r="C50" s="8">
        <v>51</v>
      </c>
      <c r="D50" s="8">
        <v>4</v>
      </c>
      <c r="E50" s="5">
        <v>2</v>
      </c>
      <c r="F50" s="5">
        <v>18</v>
      </c>
      <c r="G50" s="5">
        <v>1</v>
      </c>
      <c r="H50" s="5">
        <v>1</v>
      </c>
      <c r="I50" s="5">
        <v>40</v>
      </c>
      <c r="J50" s="2">
        <v>14</v>
      </c>
      <c r="K50" s="2">
        <v>7</v>
      </c>
      <c r="L50" s="2">
        <v>1</v>
      </c>
      <c r="M50" s="2">
        <v>2</v>
      </c>
      <c r="N50" s="2">
        <v>2</v>
      </c>
      <c r="O50" s="2">
        <v>2</v>
      </c>
      <c r="P50" s="2">
        <v>0</v>
      </c>
      <c r="Q50" s="2">
        <v>8</v>
      </c>
      <c r="R50" s="2">
        <v>110</v>
      </c>
      <c r="S50" s="12">
        <v>510</v>
      </c>
      <c r="T50" s="12">
        <v>10</v>
      </c>
      <c r="U50" s="12">
        <v>0</v>
      </c>
      <c r="V50" s="12">
        <v>10</v>
      </c>
      <c r="W50" s="18" t="s">
        <v>37</v>
      </c>
      <c r="X50" s="18" t="s">
        <v>37</v>
      </c>
      <c r="Y50" s="18" t="s">
        <v>37</v>
      </c>
      <c r="Z50" s="18" t="s">
        <v>37</v>
      </c>
      <c r="AA50" s="18" t="s">
        <v>37</v>
      </c>
      <c r="AB50" s="18" t="s">
        <v>37</v>
      </c>
      <c r="AC50" s="18" t="s">
        <v>37</v>
      </c>
      <c r="AD50" s="18" t="s">
        <v>37</v>
      </c>
      <c r="AE50" s="18" t="s">
        <v>37</v>
      </c>
      <c r="AF50" s="18" t="s">
        <v>37</v>
      </c>
      <c r="AG50" s="12" t="b">
        <v>1</v>
      </c>
      <c r="AH50" s="12" t="b">
        <v>1</v>
      </c>
      <c r="AI50" s="12" t="b">
        <v>1</v>
      </c>
      <c r="AJ50" s="12" t="b">
        <v>1</v>
      </c>
    </row>
    <row r="51" spans="1:36" s="20" customFormat="1" x14ac:dyDescent="0.25">
      <c r="A51" s="8" t="s">
        <v>78</v>
      </c>
      <c r="B51" s="9">
        <v>46202.637361400462</v>
      </c>
      <c r="C51" s="8">
        <v>52</v>
      </c>
      <c r="D51" s="8">
        <v>4</v>
      </c>
      <c r="E51" s="5">
        <v>13</v>
      </c>
      <c r="F51" s="5">
        <v>7</v>
      </c>
      <c r="G51" s="5">
        <v>12</v>
      </c>
      <c r="H51" s="5">
        <v>1</v>
      </c>
      <c r="I51" s="5">
        <v>150</v>
      </c>
      <c r="J51" s="2">
        <v>21</v>
      </c>
      <c r="K51" s="2">
        <v>5</v>
      </c>
      <c r="L51" s="2">
        <v>2</v>
      </c>
      <c r="M51" s="2">
        <v>1</v>
      </c>
      <c r="N51" s="2">
        <v>1</v>
      </c>
      <c r="O51" s="2">
        <v>1</v>
      </c>
      <c r="P51" s="2">
        <v>0</v>
      </c>
      <c r="Q51" s="2">
        <v>5</v>
      </c>
      <c r="R51" s="2">
        <v>310</v>
      </c>
      <c r="S51" s="12">
        <v>665</v>
      </c>
      <c r="T51" s="12">
        <v>7</v>
      </c>
      <c r="U51" s="12">
        <v>3</v>
      </c>
      <c r="V51" s="12">
        <v>10</v>
      </c>
      <c r="W51" s="18" t="s">
        <v>38</v>
      </c>
      <c r="X51" s="18" t="s">
        <v>37</v>
      </c>
      <c r="Y51" s="18" t="s">
        <v>37</v>
      </c>
      <c r="Z51" s="18" t="s">
        <v>37</v>
      </c>
      <c r="AA51" s="18" t="s">
        <v>38</v>
      </c>
      <c r="AB51" s="18" t="s">
        <v>37</v>
      </c>
      <c r="AC51" s="18" t="s">
        <v>37</v>
      </c>
      <c r="AD51" s="18" t="s">
        <v>37</v>
      </c>
      <c r="AE51" s="18" t="s">
        <v>38</v>
      </c>
      <c r="AF51" s="18" t="s">
        <v>37</v>
      </c>
      <c r="AG51" s="12" t="b">
        <v>1</v>
      </c>
      <c r="AH51" s="12" t="b">
        <v>1</v>
      </c>
      <c r="AI51" s="12" t="b">
        <v>1</v>
      </c>
      <c r="AJ51" s="12" t="b">
        <v>1</v>
      </c>
    </row>
    <row r="52" spans="1:36" s="20" customFormat="1" x14ac:dyDescent="0.25">
      <c r="A52" s="8" t="s">
        <v>79</v>
      </c>
      <c r="B52" s="9">
        <v>46202.637827708335</v>
      </c>
      <c r="C52" s="8">
        <v>53</v>
      </c>
      <c r="D52" s="8">
        <v>4</v>
      </c>
      <c r="E52" s="5">
        <v>21</v>
      </c>
      <c r="F52" s="5">
        <v>5</v>
      </c>
      <c r="G52" s="5">
        <v>21</v>
      </c>
      <c r="H52" s="5">
        <v>0</v>
      </c>
      <c r="I52" s="5">
        <v>210</v>
      </c>
      <c r="J52" s="2">
        <v>21</v>
      </c>
      <c r="K52" s="2">
        <v>2</v>
      </c>
      <c r="L52" s="2">
        <v>0</v>
      </c>
      <c r="M52" s="2">
        <v>2</v>
      </c>
      <c r="N52" s="2">
        <v>0</v>
      </c>
      <c r="O52" s="2">
        <v>0</v>
      </c>
      <c r="P52" s="2">
        <v>0</v>
      </c>
      <c r="Q52" s="2">
        <v>8</v>
      </c>
      <c r="R52" s="2">
        <v>400</v>
      </c>
      <c r="S52" s="12">
        <v>785</v>
      </c>
      <c r="T52" s="12">
        <v>9</v>
      </c>
      <c r="U52" s="12">
        <v>1</v>
      </c>
      <c r="V52" s="12">
        <v>10</v>
      </c>
      <c r="W52" s="18" t="s">
        <v>37</v>
      </c>
      <c r="X52" s="18" t="s">
        <v>37</v>
      </c>
      <c r="Y52" s="18" t="s">
        <v>37</v>
      </c>
      <c r="Z52" s="18" t="s">
        <v>37</v>
      </c>
      <c r="AA52" s="18" t="s">
        <v>38</v>
      </c>
      <c r="AB52" s="18" t="s">
        <v>37</v>
      </c>
      <c r="AC52" s="18" t="s">
        <v>37</v>
      </c>
      <c r="AD52" s="18" t="s">
        <v>37</v>
      </c>
      <c r="AE52" s="18" t="s">
        <v>37</v>
      </c>
      <c r="AF52" s="18" t="s">
        <v>37</v>
      </c>
      <c r="AG52" s="12" t="b">
        <v>1</v>
      </c>
      <c r="AH52" s="12" t="b">
        <v>1</v>
      </c>
      <c r="AI52" s="12" t="b">
        <v>1</v>
      </c>
      <c r="AJ52" s="12" t="b">
        <v>1</v>
      </c>
    </row>
    <row r="53" spans="1:36" s="20" customFormat="1" x14ac:dyDescent="0.25">
      <c r="A53" s="8" t="s">
        <v>80</v>
      </c>
      <c r="B53" s="9">
        <v>46202.636773738428</v>
      </c>
      <c r="C53" s="8">
        <v>54</v>
      </c>
      <c r="D53" s="8">
        <v>4</v>
      </c>
      <c r="E53" s="5">
        <v>33</v>
      </c>
      <c r="F53" s="5">
        <v>7</v>
      </c>
      <c r="G53" s="5">
        <v>32</v>
      </c>
      <c r="H53" s="5">
        <v>1</v>
      </c>
      <c r="I53" s="5">
        <v>350</v>
      </c>
      <c r="J53" s="2">
        <v>19</v>
      </c>
      <c r="K53" s="2">
        <v>15</v>
      </c>
      <c r="L53" s="2">
        <v>2</v>
      </c>
      <c r="M53" s="2">
        <v>2</v>
      </c>
      <c r="N53" s="2">
        <v>2</v>
      </c>
      <c r="O53" s="2">
        <v>5</v>
      </c>
      <c r="P53" s="2">
        <v>4</v>
      </c>
      <c r="Q53" s="2">
        <v>8</v>
      </c>
      <c r="R53" s="2">
        <v>390</v>
      </c>
      <c r="S53" s="12">
        <v>760</v>
      </c>
      <c r="T53" s="12">
        <v>8</v>
      </c>
      <c r="U53" s="12">
        <v>2</v>
      </c>
      <c r="V53" s="12">
        <v>10</v>
      </c>
      <c r="W53" s="18" t="s">
        <v>38</v>
      </c>
      <c r="X53" s="18" t="s">
        <v>38</v>
      </c>
      <c r="Y53" s="18" t="s">
        <v>37</v>
      </c>
      <c r="Z53" s="18" t="s">
        <v>37</v>
      </c>
      <c r="AA53" s="18" t="s">
        <v>37</v>
      </c>
      <c r="AB53" s="18" t="s">
        <v>37</v>
      </c>
      <c r="AC53" s="18" t="s">
        <v>37</v>
      </c>
      <c r="AD53" s="18" t="s">
        <v>37</v>
      </c>
      <c r="AE53" s="18" t="s">
        <v>37</v>
      </c>
      <c r="AF53" s="18" t="s">
        <v>37</v>
      </c>
      <c r="AG53" s="12" t="b">
        <v>1</v>
      </c>
      <c r="AH53" s="12" t="b">
        <v>1</v>
      </c>
      <c r="AI53" s="12" t="b">
        <v>1</v>
      </c>
      <c r="AJ53" s="12" t="b">
        <v>1</v>
      </c>
    </row>
    <row r="54" spans="1:36" s="20" customFormat="1" x14ac:dyDescent="0.25">
      <c r="A54" s="8" t="s">
        <v>81</v>
      </c>
      <c r="B54" s="9">
        <v>46202.638471377315</v>
      </c>
      <c r="C54" s="8">
        <v>55</v>
      </c>
      <c r="D54" s="8">
        <v>4</v>
      </c>
      <c r="E54" s="5">
        <v>22</v>
      </c>
      <c r="F54" s="5">
        <v>1</v>
      </c>
      <c r="G54" s="5">
        <v>19</v>
      </c>
      <c r="H54" s="5">
        <v>3</v>
      </c>
      <c r="I54" s="5">
        <v>280</v>
      </c>
      <c r="J54" s="2">
        <v>25</v>
      </c>
      <c r="K54" s="2">
        <v>5</v>
      </c>
      <c r="L54" s="2">
        <v>0</v>
      </c>
      <c r="M54" s="2">
        <v>1</v>
      </c>
      <c r="N54" s="2">
        <v>1</v>
      </c>
      <c r="O54" s="2">
        <v>2</v>
      </c>
      <c r="P54" s="2">
        <v>1</v>
      </c>
      <c r="Q54" s="2">
        <v>5</v>
      </c>
      <c r="R54" s="2">
        <v>480</v>
      </c>
      <c r="S54" s="12">
        <v>865</v>
      </c>
      <c r="T54" s="12">
        <v>9</v>
      </c>
      <c r="U54" s="12">
        <v>1</v>
      </c>
      <c r="V54" s="12">
        <v>10</v>
      </c>
      <c r="W54" s="18" t="s">
        <v>38</v>
      </c>
      <c r="X54" s="18" t="s">
        <v>37</v>
      </c>
      <c r="Y54" s="18" t="s">
        <v>37</v>
      </c>
      <c r="Z54" s="18" t="s">
        <v>37</v>
      </c>
      <c r="AA54" s="18" t="s">
        <v>37</v>
      </c>
      <c r="AB54" s="18" t="s">
        <v>37</v>
      </c>
      <c r="AC54" s="18" t="s">
        <v>37</v>
      </c>
      <c r="AD54" s="18" t="s">
        <v>37</v>
      </c>
      <c r="AE54" s="18" t="s">
        <v>37</v>
      </c>
      <c r="AF54" s="18" t="s">
        <v>37</v>
      </c>
      <c r="AG54" s="12" t="b">
        <v>1</v>
      </c>
      <c r="AH54" s="12" t="b">
        <v>1</v>
      </c>
      <c r="AI54" s="12" t="b">
        <v>1</v>
      </c>
      <c r="AJ54" s="12" t="b">
        <v>1</v>
      </c>
    </row>
    <row r="55" spans="1:36" s="20" customFormat="1" x14ac:dyDescent="0.25">
      <c r="A55" s="8" t="s">
        <v>82</v>
      </c>
      <c r="B55" s="9">
        <v>46202.644130763889</v>
      </c>
      <c r="C55" s="8">
        <v>56</v>
      </c>
      <c r="D55" s="8">
        <v>4</v>
      </c>
      <c r="E55" s="5">
        <v>14</v>
      </c>
      <c r="F55" s="5">
        <v>11</v>
      </c>
      <c r="G55" s="5">
        <v>14</v>
      </c>
      <c r="H55" s="5">
        <v>0</v>
      </c>
      <c r="I55" s="5">
        <v>140</v>
      </c>
      <c r="J55" s="2">
        <v>18</v>
      </c>
      <c r="K55" s="2">
        <v>18</v>
      </c>
      <c r="L55" s="2">
        <v>4</v>
      </c>
      <c r="M55" s="2">
        <v>2</v>
      </c>
      <c r="N55" s="2">
        <v>4</v>
      </c>
      <c r="O55" s="2">
        <v>6</v>
      </c>
      <c r="P55" s="2">
        <v>2</v>
      </c>
      <c r="Q55" s="2">
        <v>10</v>
      </c>
      <c r="R55" s="2">
        <v>140</v>
      </c>
      <c r="S55" s="12">
        <v>525</v>
      </c>
      <c r="T55" s="12">
        <v>9</v>
      </c>
      <c r="U55" s="12">
        <v>1</v>
      </c>
      <c r="V55" s="12">
        <v>10</v>
      </c>
      <c r="W55" s="18" t="s">
        <v>37</v>
      </c>
      <c r="X55" s="18" t="s">
        <v>37</v>
      </c>
      <c r="Y55" s="18" t="s">
        <v>37</v>
      </c>
      <c r="Z55" s="18" t="s">
        <v>37</v>
      </c>
      <c r="AA55" s="18" t="s">
        <v>37</v>
      </c>
      <c r="AB55" s="18" t="s">
        <v>37</v>
      </c>
      <c r="AC55" s="18" t="s">
        <v>37</v>
      </c>
      <c r="AD55" s="18" t="s">
        <v>38</v>
      </c>
      <c r="AE55" s="18" t="s">
        <v>37</v>
      </c>
      <c r="AF55" s="18" t="s">
        <v>37</v>
      </c>
      <c r="AG55" s="12" t="b">
        <v>1</v>
      </c>
      <c r="AH55" s="12" t="b">
        <v>1</v>
      </c>
      <c r="AI55" s="12" t="b">
        <v>1</v>
      </c>
      <c r="AJ55" s="12" t="b">
        <v>1</v>
      </c>
    </row>
    <row r="56" spans="1:36" s="20" customFormat="1" x14ac:dyDescent="0.25">
      <c r="A56" s="8" t="s">
        <v>83</v>
      </c>
      <c r="B56" s="9">
        <v>46202.64116240741</v>
      </c>
      <c r="C56" s="8">
        <v>57</v>
      </c>
      <c r="D56" s="8">
        <v>4</v>
      </c>
      <c r="E56" s="5">
        <v>15</v>
      </c>
      <c r="F56" s="5">
        <v>3</v>
      </c>
      <c r="G56" s="5">
        <v>8</v>
      </c>
      <c r="H56" s="5">
        <v>7</v>
      </c>
      <c r="I56" s="5">
        <v>290</v>
      </c>
      <c r="J56" s="2">
        <v>22</v>
      </c>
      <c r="K56" s="2">
        <v>6</v>
      </c>
      <c r="L56" s="2">
        <v>2</v>
      </c>
      <c r="M56" s="2">
        <v>1</v>
      </c>
      <c r="N56" s="2">
        <v>0</v>
      </c>
      <c r="O56" s="2">
        <v>2</v>
      </c>
      <c r="P56" s="2">
        <v>1</v>
      </c>
      <c r="Q56" s="2">
        <v>5</v>
      </c>
      <c r="R56" s="2">
        <v>450</v>
      </c>
      <c r="S56" s="12">
        <v>850</v>
      </c>
      <c r="T56" s="12">
        <v>10</v>
      </c>
      <c r="U56" s="12">
        <v>0</v>
      </c>
      <c r="V56" s="12">
        <v>10</v>
      </c>
      <c r="W56" s="18" t="s">
        <v>37</v>
      </c>
      <c r="X56" s="18" t="s">
        <v>37</v>
      </c>
      <c r="Y56" s="18" t="s">
        <v>37</v>
      </c>
      <c r="Z56" s="18" t="s">
        <v>37</v>
      </c>
      <c r="AA56" s="18" t="s">
        <v>37</v>
      </c>
      <c r="AB56" s="18" t="s">
        <v>37</v>
      </c>
      <c r="AC56" s="18" t="s">
        <v>37</v>
      </c>
      <c r="AD56" s="18" t="s">
        <v>37</v>
      </c>
      <c r="AE56" s="18" t="s">
        <v>37</v>
      </c>
      <c r="AF56" s="18" t="s">
        <v>37</v>
      </c>
      <c r="AG56" s="12" t="b">
        <v>1</v>
      </c>
      <c r="AH56" s="12" t="b">
        <v>1</v>
      </c>
      <c r="AI56" s="12" t="b">
        <v>1</v>
      </c>
      <c r="AJ56" s="12" t="b">
        <v>1</v>
      </c>
    </row>
    <row r="57" spans="1:36" s="20" customFormat="1" x14ac:dyDescent="0.25">
      <c r="A57" s="8" t="s">
        <v>84</v>
      </c>
      <c r="B57" s="9">
        <v>46202.646212754626</v>
      </c>
      <c r="C57" s="8">
        <v>58</v>
      </c>
      <c r="D57" s="8">
        <v>4</v>
      </c>
      <c r="E57" s="5">
        <v>5</v>
      </c>
      <c r="F57" s="5">
        <v>12</v>
      </c>
      <c r="G57" s="5">
        <v>0</v>
      </c>
      <c r="H57" s="5">
        <v>5</v>
      </c>
      <c r="I57" s="5">
        <v>150</v>
      </c>
      <c r="J57" s="2">
        <v>23</v>
      </c>
      <c r="K57" s="2">
        <v>2</v>
      </c>
      <c r="L57" s="2">
        <v>0</v>
      </c>
      <c r="M57" s="2">
        <v>0</v>
      </c>
      <c r="N57" s="2">
        <v>0</v>
      </c>
      <c r="O57" s="2">
        <v>1</v>
      </c>
      <c r="P57" s="2">
        <v>1</v>
      </c>
      <c r="Q57" s="2">
        <v>6</v>
      </c>
      <c r="R57" s="2">
        <v>360</v>
      </c>
      <c r="S57" s="12">
        <v>730</v>
      </c>
      <c r="T57" s="12">
        <v>8</v>
      </c>
      <c r="U57" s="12">
        <v>2</v>
      </c>
      <c r="V57" s="12">
        <v>10</v>
      </c>
      <c r="W57" s="18" t="s">
        <v>38</v>
      </c>
      <c r="X57" s="18" t="s">
        <v>37</v>
      </c>
      <c r="Y57" s="18" t="s">
        <v>37</v>
      </c>
      <c r="Z57" s="18" t="s">
        <v>38</v>
      </c>
      <c r="AA57" s="18" t="s">
        <v>37</v>
      </c>
      <c r="AB57" s="18" t="s">
        <v>37</v>
      </c>
      <c r="AC57" s="18" t="s">
        <v>37</v>
      </c>
      <c r="AD57" s="18" t="s">
        <v>37</v>
      </c>
      <c r="AE57" s="18" t="s">
        <v>37</v>
      </c>
      <c r="AF57" s="18" t="s">
        <v>37</v>
      </c>
      <c r="AG57" s="12" t="b">
        <v>1</v>
      </c>
      <c r="AH57" s="12" t="b">
        <v>1</v>
      </c>
      <c r="AI57" s="12" t="b">
        <v>1</v>
      </c>
      <c r="AJ57" s="12" t="b">
        <v>1</v>
      </c>
    </row>
    <row r="58" spans="1:36" s="20" customFormat="1" x14ac:dyDescent="0.25">
      <c r="A58" s="8" t="s">
        <v>85</v>
      </c>
      <c r="B58" s="9">
        <v>46202.64780111111</v>
      </c>
      <c r="C58" s="8">
        <v>59</v>
      </c>
      <c r="D58" s="8">
        <v>4</v>
      </c>
      <c r="E58" s="5">
        <v>0</v>
      </c>
      <c r="F58" s="5">
        <v>19</v>
      </c>
      <c r="G58" s="5">
        <v>0</v>
      </c>
      <c r="H58" s="5">
        <v>0</v>
      </c>
      <c r="I58" s="5">
        <v>0</v>
      </c>
      <c r="J58" s="2">
        <v>28</v>
      </c>
      <c r="K58" s="2">
        <v>8</v>
      </c>
      <c r="L58" s="2">
        <v>1</v>
      </c>
      <c r="M58" s="2">
        <v>2</v>
      </c>
      <c r="N58" s="2">
        <v>2</v>
      </c>
      <c r="O58" s="2">
        <v>2</v>
      </c>
      <c r="P58" s="2">
        <v>1</v>
      </c>
      <c r="Q58" s="2">
        <v>1</v>
      </c>
      <c r="R58" s="2">
        <v>200</v>
      </c>
      <c r="S58" s="12">
        <v>570</v>
      </c>
      <c r="T58" s="12">
        <v>8</v>
      </c>
      <c r="U58" s="12">
        <v>2</v>
      </c>
      <c r="V58" s="12">
        <v>10</v>
      </c>
      <c r="W58" s="18" t="s">
        <v>38</v>
      </c>
      <c r="X58" s="18" t="s">
        <v>37</v>
      </c>
      <c r="Y58" s="18" t="s">
        <v>37</v>
      </c>
      <c r="Z58" s="18" t="s">
        <v>37</v>
      </c>
      <c r="AA58" s="18" t="s">
        <v>37</v>
      </c>
      <c r="AB58" s="18" t="s">
        <v>38</v>
      </c>
      <c r="AC58" s="18" t="s">
        <v>37</v>
      </c>
      <c r="AD58" s="18" t="s">
        <v>37</v>
      </c>
      <c r="AE58" s="18" t="s">
        <v>37</v>
      </c>
      <c r="AF58" s="18" t="s">
        <v>37</v>
      </c>
      <c r="AG58" s="12" t="b">
        <v>1</v>
      </c>
      <c r="AH58" s="12" t="b">
        <v>1</v>
      </c>
      <c r="AI58" s="12" t="b">
        <v>1</v>
      </c>
      <c r="AJ58" s="12" t="b">
        <v>1</v>
      </c>
    </row>
    <row r="59" spans="1:36" s="20" customFormat="1" x14ac:dyDescent="0.25">
      <c r="A59" s="8" t="s">
        <v>86</v>
      </c>
      <c r="B59" s="9">
        <v>46202.647558773147</v>
      </c>
      <c r="C59" s="8">
        <v>60</v>
      </c>
      <c r="D59" s="8">
        <v>4</v>
      </c>
      <c r="E59" s="5">
        <v>4</v>
      </c>
      <c r="F59" s="5">
        <v>12</v>
      </c>
      <c r="G59" s="5">
        <v>0</v>
      </c>
      <c r="H59" s="5">
        <v>4</v>
      </c>
      <c r="I59" s="5">
        <v>120</v>
      </c>
      <c r="J59" s="2">
        <v>26</v>
      </c>
      <c r="K59" s="2">
        <v>3</v>
      </c>
      <c r="L59" s="2">
        <v>0</v>
      </c>
      <c r="M59" s="2">
        <v>1</v>
      </c>
      <c r="N59" s="2">
        <v>0</v>
      </c>
      <c r="O59" s="2">
        <v>1</v>
      </c>
      <c r="P59" s="2">
        <v>1</v>
      </c>
      <c r="Q59" s="2">
        <v>4</v>
      </c>
      <c r="R59" s="2">
        <v>350</v>
      </c>
      <c r="S59" s="12">
        <v>720</v>
      </c>
      <c r="T59" s="12">
        <v>8</v>
      </c>
      <c r="U59" s="12">
        <v>2</v>
      </c>
      <c r="V59" s="12">
        <v>10</v>
      </c>
      <c r="W59" s="18" t="s">
        <v>37</v>
      </c>
      <c r="X59" s="18" t="s">
        <v>38</v>
      </c>
      <c r="Y59" s="18" t="s">
        <v>37</v>
      </c>
      <c r="Z59" s="18" t="s">
        <v>37</v>
      </c>
      <c r="AA59" s="18" t="s">
        <v>37</v>
      </c>
      <c r="AB59" s="18" t="s">
        <v>38</v>
      </c>
      <c r="AC59" s="18" t="s">
        <v>37</v>
      </c>
      <c r="AD59" s="18" t="s">
        <v>37</v>
      </c>
      <c r="AE59" s="18" t="s">
        <v>37</v>
      </c>
      <c r="AF59" s="18" t="s">
        <v>37</v>
      </c>
      <c r="AG59" s="12" t="b">
        <v>1</v>
      </c>
      <c r="AH59" s="12" t="b">
        <v>1</v>
      </c>
      <c r="AI59" s="12" t="b">
        <v>1</v>
      </c>
      <c r="AJ59" s="12" t="b">
        <v>1</v>
      </c>
    </row>
    <row r="60" spans="1:36" s="20" customFormat="1" x14ac:dyDescent="0.25">
      <c r="A60" s="8" t="s">
        <v>87</v>
      </c>
      <c r="B60" s="9">
        <v>46202.650865763891</v>
      </c>
      <c r="C60" s="8">
        <v>61</v>
      </c>
      <c r="D60" s="8">
        <v>4</v>
      </c>
      <c r="E60" s="5">
        <v>26</v>
      </c>
      <c r="F60" s="5">
        <v>3</v>
      </c>
      <c r="G60" s="5">
        <v>25</v>
      </c>
      <c r="H60" s="5">
        <v>1</v>
      </c>
      <c r="I60" s="5">
        <v>280</v>
      </c>
      <c r="J60" s="2">
        <v>19</v>
      </c>
      <c r="K60" s="2">
        <v>1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6</v>
      </c>
      <c r="R60" s="2">
        <v>460</v>
      </c>
      <c r="S60" s="12">
        <v>830</v>
      </c>
      <c r="T60" s="12">
        <v>8</v>
      </c>
      <c r="U60" s="12">
        <v>2</v>
      </c>
      <c r="V60" s="12">
        <v>10</v>
      </c>
      <c r="W60" s="18" t="s">
        <v>38</v>
      </c>
      <c r="X60" s="18" t="s">
        <v>37</v>
      </c>
      <c r="Y60" s="18" t="s">
        <v>37</v>
      </c>
      <c r="Z60" s="18" t="s">
        <v>37</v>
      </c>
      <c r="AA60" s="18" t="s">
        <v>38</v>
      </c>
      <c r="AB60" s="18" t="s">
        <v>37</v>
      </c>
      <c r="AC60" s="18" t="s">
        <v>37</v>
      </c>
      <c r="AD60" s="18" t="s">
        <v>37</v>
      </c>
      <c r="AE60" s="18" t="s">
        <v>37</v>
      </c>
      <c r="AF60" s="18" t="s">
        <v>37</v>
      </c>
      <c r="AG60" s="12" t="b">
        <v>1</v>
      </c>
      <c r="AH60" s="12" t="b">
        <v>1</v>
      </c>
      <c r="AI60" s="12" t="b">
        <v>1</v>
      </c>
      <c r="AJ60" s="12" t="b">
        <v>1</v>
      </c>
    </row>
    <row r="61" spans="1:36" s="20" customFormat="1" x14ac:dyDescent="0.25">
      <c r="A61" s="8" t="s">
        <v>88</v>
      </c>
      <c r="B61" s="9">
        <v>46202.653277233796</v>
      </c>
      <c r="C61" s="8">
        <v>62</v>
      </c>
      <c r="D61" s="8">
        <v>4</v>
      </c>
      <c r="E61" s="5">
        <v>12</v>
      </c>
      <c r="F61" s="5">
        <v>10</v>
      </c>
      <c r="G61" s="5">
        <v>12</v>
      </c>
      <c r="H61" s="5">
        <v>0</v>
      </c>
      <c r="I61" s="5">
        <v>120</v>
      </c>
      <c r="J61" s="2">
        <v>1</v>
      </c>
      <c r="K61" s="2">
        <v>13</v>
      </c>
      <c r="L61" s="2">
        <v>7</v>
      </c>
      <c r="M61" s="2">
        <v>1</v>
      </c>
      <c r="N61" s="2">
        <v>3</v>
      </c>
      <c r="O61" s="2">
        <v>0</v>
      </c>
      <c r="P61" s="2">
        <v>2</v>
      </c>
      <c r="Q61" s="2">
        <v>29</v>
      </c>
      <c r="R61" s="2">
        <v>0</v>
      </c>
      <c r="S61" s="12">
        <v>400</v>
      </c>
      <c r="T61" s="12">
        <v>10</v>
      </c>
      <c r="U61" s="12">
        <v>0</v>
      </c>
      <c r="V61" s="12">
        <v>10</v>
      </c>
      <c r="W61" s="18" t="s">
        <v>37</v>
      </c>
      <c r="X61" s="18" t="s">
        <v>37</v>
      </c>
      <c r="Y61" s="18" t="s">
        <v>37</v>
      </c>
      <c r="Z61" s="18" t="s">
        <v>37</v>
      </c>
      <c r="AA61" s="18" t="s">
        <v>37</v>
      </c>
      <c r="AB61" s="18" t="s">
        <v>37</v>
      </c>
      <c r="AC61" s="18" t="s">
        <v>37</v>
      </c>
      <c r="AD61" s="18" t="s">
        <v>37</v>
      </c>
      <c r="AE61" s="18" t="s">
        <v>37</v>
      </c>
      <c r="AF61" s="18" t="s">
        <v>37</v>
      </c>
      <c r="AG61" s="12" t="b">
        <v>1</v>
      </c>
      <c r="AH61" s="12" t="b">
        <v>1</v>
      </c>
      <c r="AI61" s="12" t="b">
        <v>1</v>
      </c>
      <c r="AJ61" s="12" t="b">
        <v>1</v>
      </c>
    </row>
    <row r="62" spans="1:36" s="20" customFormat="1" x14ac:dyDescent="0.25">
      <c r="A62" s="8" t="s">
        <v>89</v>
      </c>
      <c r="B62" s="9">
        <v>46202.652395567129</v>
      </c>
      <c r="C62" s="8">
        <v>63</v>
      </c>
      <c r="D62" s="8">
        <v>4</v>
      </c>
      <c r="E62" s="5">
        <v>20</v>
      </c>
      <c r="F62" s="5">
        <v>11</v>
      </c>
      <c r="G62" s="5">
        <v>18</v>
      </c>
      <c r="H62" s="5">
        <v>2</v>
      </c>
      <c r="I62" s="5">
        <v>240</v>
      </c>
      <c r="J62" s="2">
        <v>15</v>
      </c>
      <c r="K62" s="2">
        <v>7</v>
      </c>
      <c r="L62" s="2">
        <v>2</v>
      </c>
      <c r="M62" s="2">
        <v>1</v>
      </c>
      <c r="N62" s="2">
        <v>1</v>
      </c>
      <c r="O62" s="2">
        <v>3</v>
      </c>
      <c r="P62" s="2">
        <v>0</v>
      </c>
      <c r="Q62" s="2">
        <v>13</v>
      </c>
      <c r="R62" s="2">
        <v>320</v>
      </c>
      <c r="S62" s="12">
        <v>675</v>
      </c>
      <c r="T62" s="12">
        <v>7</v>
      </c>
      <c r="U62" s="12">
        <v>3</v>
      </c>
      <c r="V62" s="12">
        <v>10</v>
      </c>
      <c r="W62" s="18" t="s">
        <v>38</v>
      </c>
      <c r="X62" s="18" t="s">
        <v>38</v>
      </c>
      <c r="Y62" s="18" t="s">
        <v>37</v>
      </c>
      <c r="Z62" s="18" t="s">
        <v>37</v>
      </c>
      <c r="AA62" s="18" t="s">
        <v>37</v>
      </c>
      <c r="AB62" s="18" t="s">
        <v>38</v>
      </c>
      <c r="AC62" s="18" t="s">
        <v>37</v>
      </c>
      <c r="AD62" s="18" t="s">
        <v>37</v>
      </c>
      <c r="AE62" s="18" t="s">
        <v>37</v>
      </c>
      <c r="AF62" s="18" t="s">
        <v>37</v>
      </c>
      <c r="AG62" s="12" t="b">
        <v>1</v>
      </c>
      <c r="AH62" s="12" t="b">
        <v>1</v>
      </c>
      <c r="AI62" s="12" t="b">
        <v>1</v>
      </c>
      <c r="AJ62" s="12" t="b">
        <v>1</v>
      </c>
    </row>
    <row r="63" spans="1:36" s="20" customFormat="1" x14ac:dyDescent="0.25">
      <c r="A63" s="8" t="s">
        <v>90</v>
      </c>
      <c r="B63" s="9">
        <v>46202.654043171293</v>
      </c>
      <c r="C63" s="8">
        <v>64</v>
      </c>
      <c r="D63" s="8">
        <v>4</v>
      </c>
      <c r="E63" s="5">
        <v>21</v>
      </c>
      <c r="F63" s="5">
        <v>5</v>
      </c>
      <c r="G63" s="5">
        <v>21</v>
      </c>
      <c r="H63" s="5">
        <v>0</v>
      </c>
      <c r="I63" s="5">
        <v>210</v>
      </c>
      <c r="J63" s="2">
        <v>18</v>
      </c>
      <c r="K63" s="2">
        <v>8</v>
      </c>
      <c r="L63" s="2">
        <v>2</v>
      </c>
      <c r="M63" s="2">
        <v>4</v>
      </c>
      <c r="N63" s="2">
        <v>1</v>
      </c>
      <c r="O63" s="2">
        <v>1</v>
      </c>
      <c r="P63" s="2">
        <v>0</v>
      </c>
      <c r="Q63" s="2">
        <v>10</v>
      </c>
      <c r="R63" s="2">
        <v>310</v>
      </c>
      <c r="S63" s="12">
        <v>680</v>
      </c>
      <c r="T63" s="12">
        <v>8</v>
      </c>
      <c r="U63" s="12">
        <v>2</v>
      </c>
      <c r="V63" s="12">
        <v>10</v>
      </c>
      <c r="W63" s="18" t="s">
        <v>37</v>
      </c>
      <c r="X63" s="18" t="s">
        <v>37</v>
      </c>
      <c r="Y63" s="18" t="s">
        <v>37</v>
      </c>
      <c r="Z63" s="18" t="s">
        <v>37</v>
      </c>
      <c r="AA63" s="18" t="s">
        <v>38</v>
      </c>
      <c r="AB63" s="18" t="s">
        <v>38</v>
      </c>
      <c r="AC63" s="18" t="s">
        <v>37</v>
      </c>
      <c r="AD63" s="18" t="s">
        <v>37</v>
      </c>
      <c r="AE63" s="18" t="s">
        <v>37</v>
      </c>
      <c r="AF63" s="18" t="s">
        <v>37</v>
      </c>
      <c r="AG63" s="12" t="b">
        <v>1</v>
      </c>
      <c r="AH63" s="12" t="b">
        <v>1</v>
      </c>
      <c r="AI63" s="12" t="b">
        <v>1</v>
      </c>
      <c r="AJ63" s="12" t="b">
        <v>1</v>
      </c>
    </row>
    <row r="64" spans="1:36" s="20" customFormat="1" x14ac:dyDescent="0.25">
      <c r="A64" s="8" t="s">
        <v>91</v>
      </c>
      <c r="B64" s="9">
        <v>46202.656745335647</v>
      </c>
      <c r="C64" s="8">
        <v>65</v>
      </c>
      <c r="D64" s="8">
        <v>4</v>
      </c>
      <c r="E64" s="5">
        <v>24</v>
      </c>
      <c r="F64" s="5">
        <v>5</v>
      </c>
      <c r="G64" s="5">
        <v>24</v>
      </c>
      <c r="H64" s="5">
        <v>0</v>
      </c>
      <c r="I64" s="5">
        <v>240</v>
      </c>
      <c r="J64" s="2">
        <v>18</v>
      </c>
      <c r="K64" s="2">
        <v>14</v>
      </c>
      <c r="L64" s="2">
        <v>1</v>
      </c>
      <c r="M64" s="2">
        <v>4</v>
      </c>
      <c r="N64" s="2">
        <v>3</v>
      </c>
      <c r="O64" s="2">
        <v>2</v>
      </c>
      <c r="P64" s="2">
        <v>4</v>
      </c>
      <c r="Q64" s="2">
        <v>74</v>
      </c>
      <c r="R64" s="2">
        <v>280</v>
      </c>
      <c r="S64" s="12">
        <v>665</v>
      </c>
      <c r="T64" s="12">
        <v>9</v>
      </c>
      <c r="U64" s="12">
        <v>1</v>
      </c>
      <c r="V64" s="12">
        <v>10</v>
      </c>
      <c r="W64" s="18" t="s">
        <v>37</v>
      </c>
      <c r="X64" s="18" t="s">
        <v>37</v>
      </c>
      <c r="Y64" s="18" t="s">
        <v>37</v>
      </c>
      <c r="Z64" s="18" t="s">
        <v>37</v>
      </c>
      <c r="AA64" s="18" t="s">
        <v>37</v>
      </c>
      <c r="AB64" s="18" t="s">
        <v>37</v>
      </c>
      <c r="AC64" s="18" t="s">
        <v>38</v>
      </c>
      <c r="AD64" s="18" t="s">
        <v>37</v>
      </c>
      <c r="AE64" s="18" t="s">
        <v>37</v>
      </c>
      <c r="AF64" s="18" t="s">
        <v>37</v>
      </c>
      <c r="AG64" s="12" t="b">
        <v>1</v>
      </c>
      <c r="AH64" s="12" t="b">
        <v>1</v>
      </c>
      <c r="AI64" s="12" t="b">
        <v>1</v>
      </c>
      <c r="AJ64" s="12" t="b">
        <v>1</v>
      </c>
    </row>
    <row r="65" spans="1:36" s="20" customFormat="1" x14ac:dyDescent="0.25">
      <c r="A65" s="8" t="s">
        <v>92</v>
      </c>
      <c r="B65" s="9">
        <v>46202.65797375</v>
      </c>
      <c r="C65" s="8">
        <v>66</v>
      </c>
      <c r="D65" s="8">
        <v>4</v>
      </c>
      <c r="E65" s="5">
        <v>14</v>
      </c>
      <c r="F65" s="5">
        <v>8</v>
      </c>
      <c r="G65" s="5">
        <v>0</v>
      </c>
      <c r="H65" s="5">
        <v>14</v>
      </c>
      <c r="I65" s="5">
        <v>420</v>
      </c>
      <c r="J65" s="2">
        <v>19</v>
      </c>
      <c r="K65" s="2">
        <v>9</v>
      </c>
      <c r="L65" s="2">
        <v>0</v>
      </c>
      <c r="M65" s="2">
        <v>6</v>
      </c>
      <c r="N65" s="2">
        <v>1</v>
      </c>
      <c r="O65" s="2">
        <v>2</v>
      </c>
      <c r="P65" s="2">
        <v>0</v>
      </c>
      <c r="Q65" s="2">
        <v>8</v>
      </c>
      <c r="R65" s="2">
        <v>520</v>
      </c>
      <c r="S65" s="12">
        <v>905</v>
      </c>
      <c r="T65" s="12">
        <v>9</v>
      </c>
      <c r="U65" s="12">
        <v>1</v>
      </c>
      <c r="V65" s="12">
        <v>10</v>
      </c>
      <c r="W65" s="18" t="s">
        <v>38</v>
      </c>
      <c r="X65" s="18" t="s">
        <v>37</v>
      </c>
      <c r="Y65" s="18" t="s">
        <v>37</v>
      </c>
      <c r="Z65" s="18" t="s">
        <v>37</v>
      </c>
      <c r="AA65" s="18" t="s">
        <v>37</v>
      </c>
      <c r="AB65" s="18" t="s">
        <v>37</v>
      </c>
      <c r="AC65" s="18" t="s">
        <v>37</v>
      </c>
      <c r="AD65" s="18" t="s">
        <v>37</v>
      </c>
      <c r="AE65" s="18" t="s">
        <v>37</v>
      </c>
      <c r="AF65" s="18" t="s">
        <v>37</v>
      </c>
      <c r="AG65" s="12" t="b">
        <v>1</v>
      </c>
      <c r="AH65" s="12" t="b">
        <v>1</v>
      </c>
      <c r="AI65" s="12" t="b">
        <v>1</v>
      </c>
      <c r="AJ65" s="12" t="b">
        <v>1</v>
      </c>
    </row>
    <row r="66" spans="1:36" s="20" customFormat="1" x14ac:dyDescent="0.25">
      <c r="A66" s="8" t="s">
        <v>93</v>
      </c>
      <c r="B66" s="9">
        <v>46202.661119004624</v>
      </c>
      <c r="C66" s="8">
        <v>68</v>
      </c>
      <c r="D66" s="8">
        <v>4</v>
      </c>
      <c r="E66" s="5">
        <v>36</v>
      </c>
      <c r="F66" s="5">
        <v>2</v>
      </c>
      <c r="G66" s="5">
        <v>21</v>
      </c>
      <c r="H66" s="5">
        <v>15</v>
      </c>
      <c r="I66" s="5">
        <v>660</v>
      </c>
      <c r="J66" s="2">
        <v>21</v>
      </c>
      <c r="K66" s="2">
        <v>10</v>
      </c>
      <c r="L66" s="2">
        <v>2</v>
      </c>
      <c r="M66" s="2">
        <v>1</v>
      </c>
      <c r="N66" s="2">
        <v>2</v>
      </c>
      <c r="O66" s="2">
        <v>2</v>
      </c>
      <c r="P66" s="2">
        <v>3</v>
      </c>
      <c r="Q66" s="2">
        <v>2</v>
      </c>
      <c r="R66" s="2">
        <v>770</v>
      </c>
      <c r="S66" s="12">
        <v>1170</v>
      </c>
      <c r="T66" s="12">
        <v>10</v>
      </c>
      <c r="U66" s="12">
        <v>0</v>
      </c>
      <c r="V66" s="12">
        <v>10</v>
      </c>
      <c r="W66" s="18" t="s">
        <v>37</v>
      </c>
      <c r="X66" s="18" t="s">
        <v>37</v>
      </c>
      <c r="Y66" s="18" t="s">
        <v>37</v>
      </c>
      <c r="Z66" s="18" t="s">
        <v>37</v>
      </c>
      <c r="AA66" s="18" t="s">
        <v>37</v>
      </c>
      <c r="AB66" s="18" t="s">
        <v>37</v>
      </c>
      <c r="AC66" s="18" t="s">
        <v>37</v>
      </c>
      <c r="AD66" s="18" t="s">
        <v>37</v>
      </c>
      <c r="AE66" s="18" t="s">
        <v>37</v>
      </c>
      <c r="AF66" s="18" t="s">
        <v>37</v>
      </c>
      <c r="AG66" s="12" t="b">
        <v>1</v>
      </c>
      <c r="AH66" s="12" t="b">
        <v>1</v>
      </c>
      <c r="AI66" s="12" t="b">
        <v>1</v>
      </c>
      <c r="AJ66" s="12" t="b">
        <v>1</v>
      </c>
    </row>
    <row r="67" spans="1:36" s="20" customFormat="1" x14ac:dyDescent="0.25">
      <c r="A67" s="8" t="s">
        <v>94</v>
      </c>
      <c r="B67" s="9">
        <v>46202.6626225</v>
      </c>
      <c r="C67" s="8">
        <v>69</v>
      </c>
      <c r="D67" s="8">
        <v>4</v>
      </c>
      <c r="E67" s="5">
        <v>46</v>
      </c>
      <c r="F67" s="5">
        <v>3</v>
      </c>
      <c r="G67" s="5">
        <v>37</v>
      </c>
      <c r="H67" s="5">
        <v>9</v>
      </c>
      <c r="I67" s="5">
        <v>640</v>
      </c>
      <c r="J67" s="2">
        <v>19</v>
      </c>
      <c r="K67" s="2">
        <v>2</v>
      </c>
      <c r="L67" s="2">
        <v>0</v>
      </c>
      <c r="M67" s="2">
        <v>1</v>
      </c>
      <c r="N67" s="2">
        <v>0</v>
      </c>
      <c r="O67" s="2">
        <v>1</v>
      </c>
      <c r="P67" s="2">
        <v>0</v>
      </c>
      <c r="Q67" s="2">
        <v>3</v>
      </c>
      <c r="R67" s="2">
        <v>810</v>
      </c>
      <c r="S67" s="12">
        <v>1210</v>
      </c>
      <c r="T67" s="12">
        <v>10</v>
      </c>
      <c r="U67" s="12">
        <v>0</v>
      </c>
      <c r="V67" s="12">
        <v>10</v>
      </c>
      <c r="W67" s="18" t="s">
        <v>37</v>
      </c>
      <c r="X67" s="18" t="s">
        <v>37</v>
      </c>
      <c r="Y67" s="18" t="s">
        <v>37</v>
      </c>
      <c r="Z67" s="18" t="s">
        <v>37</v>
      </c>
      <c r="AA67" s="18" t="s">
        <v>37</v>
      </c>
      <c r="AB67" s="18" t="s">
        <v>37</v>
      </c>
      <c r="AC67" s="18" t="s">
        <v>37</v>
      </c>
      <c r="AD67" s="18" t="s">
        <v>37</v>
      </c>
      <c r="AE67" s="18" t="s">
        <v>37</v>
      </c>
      <c r="AF67" s="18" t="s">
        <v>37</v>
      </c>
      <c r="AG67" s="12" t="b">
        <v>1</v>
      </c>
      <c r="AH67" s="12" t="b">
        <v>1</v>
      </c>
      <c r="AI67" s="12" t="b">
        <v>1</v>
      </c>
      <c r="AJ67" s="12" t="b">
        <v>1</v>
      </c>
    </row>
    <row r="68" spans="1:36" s="20" customFormat="1" x14ac:dyDescent="0.25">
      <c r="A68" s="8" t="s">
        <v>95</v>
      </c>
      <c r="B68" s="9">
        <v>46202.66301113426</v>
      </c>
      <c r="C68" s="8">
        <v>70</v>
      </c>
      <c r="D68" s="8">
        <v>4</v>
      </c>
      <c r="E68" s="5">
        <v>17</v>
      </c>
      <c r="F68" s="5">
        <v>6</v>
      </c>
      <c r="G68" s="5">
        <v>13</v>
      </c>
      <c r="H68" s="5">
        <v>4</v>
      </c>
      <c r="I68" s="5">
        <v>250</v>
      </c>
      <c r="J68" s="2">
        <v>16</v>
      </c>
      <c r="K68" s="2">
        <v>6</v>
      </c>
      <c r="L68" s="2">
        <v>1</v>
      </c>
      <c r="M68" s="2">
        <v>1</v>
      </c>
      <c r="N68" s="2">
        <v>1</v>
      </c>
      <c r="O68" s="2">
        <v>2</v>
      </c>
      <c r="P68" s="2">
        <v>1</v>
      </c>
      <c r="Q68" s="2">
        <v>3</v>
      </c>
      <c r="R68" s="2">
        <v>350</v>
      </c>
      <c r="S68" s="12">
        <v>720</v>
      </c>
      <c r="T68" s="12">
        <v>8</v>
      </c>
      <c r="U68" s="12">
        <v>2</v>
      </c>
      <c r="V68" s="12">
        <v>10</v>
      </c>
      <c r="W68" s="18" t="s">
        <v>37</v>
      </c>
      <c r="X68" s="18" t="s">
        <v>37</v>
      </c>
      <c r="Y68" s="18" t="s">
        <v>37</v>
      </c>
      <c r="Z68" s="18" t="s">
        <v>37</v>
      </c>
      <c r="AA68" s="18" t="s">
        <v>38</v>
      </c>
      <c r="AB68" s="18" t="s">
        <v>37</v>
      </c>
      <c r="AC68" s="18" t="s">
        <v>37</v>
      </c>
      <c r="AD68" s="18" t="s">
        <v>38</v>
      </c>
      <c r="AE68" s="18" t="s">
        <v>37</v>
      </c>
      <c r="AF68" s="18" t="s">
        <v>37</v>
      </c>
      <c r="AG68" s="12" t="b">
        <v>1</v>
      </c>
      <c r="AH68" s="12" t="b">
        <v>1</v>
      </c>
      <c r="AI68" s="12" t="b">
        <v>1</v>
      </c>
      <c r="AJ68" s="12" t="b">
        <v>1</v>
      </c>
    </row>
    <row r="69" spans="1:36" s="20" customFormat="1" x14ac:dyDescent="0.25">
      <c r="A69" s="8" t="s">
        <v>96</v>
      </c>
      <c r="B69" s="9">
        <v>46202.667154432871</v>
      </c>
      <c r="C69" s="8">
        <v>71</v>
      </c>
      <c r="D69" s="8">
        <v>4</v>
      </c>
      <c r="E69" s="5">
        <v>22</v>
      </c>
      <c r="F69" s="5">
        <v>5</v>
      </c>
      <c r="G69" s="5">
        <v>19</v>
      </c>
      <c r="H69" s="5">
        <v>3</v>
      </c>
      <c r="I69" s="5">
        <v>280</v>
      </c>
      <c r="J69" s="2">
        <v>15</v>
      </c>
      <c r="K69" s="2">
        <v>7</v>
      </c>
      <c r="L69" s="2">
        <v>1</v>
      </c>
      <c r="M69" s="2">
        <v>0</v>
      </c>
      <c r="N69" s="2">
        <v>2</v>
      </c>
      <c r="O69" s="2">
        <v>3</v>
      </c>
      <c r="P69" s="2">
        <v>1</v>
      </c>
      <c r="Q69" s="2">
        <v>11</v>
      </c>
      <c r="R69" s="2">
        <v>360</v>
      </c>
      <c r="S69" s="12">
        <v>760</v>
      </c>
      <c r="T69" s="12">
        <v>10</v>
      </c>
      <c r="U69" s="12">
        <v>0</v>
      </c>
      <c r="V69" s="12">
        <v>10</v>
      </c>
      <c r="W69" s="18" t="s">
        <v>37</v>
      </c>
      <c r="X69" s="18" t="s">
        <v>37</v>
      </c>
      <c r="Y69" s="18" t="s">
        <v>37</v>
      </c>
      <c r="Z69" s="18" t="s">
        <v>37</v>
      </c>
      <c r="AA69" s="18" t="s">
        <v>37</v>
      </c>
      <c r="AB69" s="18" t="s">
        <v>37</v>
      </c>
      <c r="AC69" s="18" t="s">
        <v>37</v>
      </c>
      <c r="AD69" s="18" t="s">
        <v>37</v>
      </c>
      <c r="AE69" s="18" t="s">
        <v>37</v>
      </c>
      <c r="AF69" s="18" t="s">
        <v>37</v>
      </c>
      <c r="AG69" s="12" t="b">
        <v>1</v>
      </c>
      <c r="AH69" s="12" t="b">
        <v>1</v>
      </c>
      <c r="AI69" s="12" t="b">
        <v>1</v>
      </c>
      <c r="AJ69" s="12" t="b">
        <v>1</v>
      </c>
    </row>
    <row r="70" spans="1:36" s="20" customFormat="1" x14ac:dyDescent="0.25">
      <c r="A70" s="8" t="s">
        <v>97</v>
      </c>
      <c r="B70" s="9">
        <v>46202.665572106482</v>
      </c>
      <c r="C70" s="8">
        <v>72</v>
      </c>
      <c r="D70" s="8">
        <v>4</v>
      </c>
      <c r="E70" s="5">
        <v>31</v>
      </c>
      <c r="F70" s="5">
        <v>1</v>
      </c>
      <c r="G70" s="5">
        <v>31</v>
      </c>
      <c r="H70" s="5">
        <v>0</v>
      </c>
      <c r="I70" s="5">
        <v>310</v>
      </c>
      <c r="J70" s="2">
        <v>19</v>
      </c>
      <c r="K70" s="2">
        <v>7</v>
      </c>
      <c r="L70" s="2">
        <v>2</v>
      </c>
      <c r="M70" s="2">
        <v>0</v>
      </c>
      <c r="N70" s="2">
        <v>1</v>
      </c>
      <c r="O70" s="2">
        <v>2</v>
      </c>
      <c r="P70" s="2">
        <v>2</v>
      </c>
      <c r="Q70" s="2">
        <v>5</v>
      </c>
      <c r="R70" s="2">
        <v>430</v>
      </c>
      <c r="S70" s="12">
        <v>815</v>
      </c>
      <c r="T70" s="12">
        <v>9</v>
      </c>
      <c r="U70" s="12">
        <v>1</v>
      </c>
      <c r="V70" s="12">
        <v>10</v>
      </c>
      <c r="W70" s="18" t="s">
        <v>38</v>
      </c>
      <c r="X70" s="18" t="s">
        <v>37</v>
      </c>
      <c r="Y70" s="18" t="s">
        <v>37</v>
      </c>
      <c r="Z70" s="18" t="s">
        <v>37</v>
      </c>
      <c r="AA70" s="18" t="s">
        <v>37</v>
      </c>
      <c r="AB70" s="18" t="s">
        <v>37</v>
      </c>
      <c r="AC70" s="18" t="s">
        <v>37</v>
      </c>
      <c r="AD70" s="18" t="s">
        <v>37</v>
      </c>
      <c r="AE70" s="18" t="s">
        <v>37</v>
      </c>
      <c r="AF70" s="18" t="s">
        <v>37</v>
      </c>
      <c r="AG70" s="12" t="b">
        <v>1</v>
      </c>
      <c r="AH70" s="12" t="b">
        <v>1</v>
      </c>
      <c r="AI70" s="12" t="b">
        <v>1</v>
      </c>
      <c r="AJ70" s="12" t="b">
        <v>1</v>
      </c>
    </row>
    <row r="71" spans="1:36" s="20" customFormat="1" x14ac:dyDescent="0.25">
      <c r="A71" s="8" t="s">
        <v>98</v>
      </c>
      <c r="B71" s="9">
        <v>46202.665335949074</v>
      </c>
      <c r="C71" s="8">
        <v>73</v>
      </c>
      <c r="D71" s="8">
        <v>4</v>
      </c>
      <c r="E71" s="5">
        <v>36</v>
      </c>
      <c r="F71" s="5">
        <v>2</v>
      </c>
      <c r="G71" s="5">
        <v>21</v>
      </c>
      <c r="H71" s="5">
        <v>15</v>
      </c>
      <c r="I71" s="5">
        <v>660</v>
      </c>
      <c r="J71" s="2">
        <v>21</v>
      </c>
      <c r="K71" s="2">
        <v>10</v>
      </c>
      <c r="L71" s="2">
        <v>2</v>
      </c>
      <c r="M71" s="2">
        <v>1</v>
      </c>
      <c r="N71" s="2">
        <v>2</v>
      </c>
      <c r="O71" s="2">
        <v>2</v>
      </c>
      <c r="P71" s="2">
        <v>3</v>
      </c>
      <c r="Q71" s="2">
        <v>2</v>
      </c>
      <c r="R71" s="2">
        <v>770</v>
      </c>
      <c r="S71" s="12">
        <v>1570</v>
      </c>
      <c r="T71" s="12">
        <v>10</v>
      </c>
      <c r="U71" s="12">
        <v>0</v>
      </c>
      <c r="V71" s="12">
        <v>10</v>
      </c>
      <c r="W71" s="18" t="s">
        <v>37</v>
      </c>
      <c r="X71" s="18" t="s">
        <v>37</v>
      </c>
      <c r="Y71" s="18" t="s">
        <v>37</v>
      </c>
      <c r="Z71" s="18" t="s">
        <v>37</v>
      </c>
      <c r="AA71" s="18" t="s">
        <v>37</v>
      </c>
      <c r="AB71" s="18" t="s">
        <v>37</v>
      </c>
      <c r="AC71" s="18" t="s">
        <v>37</v>
      </c>
      <c r="AD71" s="18" t="s">
        <v>37</v>
      </c>
      <c r="AE71" s="18" t="s">
        <v>37</v>
      </c>
      <c r="AF71" s="18" t="s">
        <v>37</v>
      </c>
      <c r="AG71" s="12" t="b">
        <v>1</v>
      </c>
      <c r="AH71" s="12" t="b">
        <v>1</v>
      </c>
      <c r="AI71" s="12" t="b">
        <v>1</v>
      </c>
      <c r="AJ71" s="12" t="b">
        <v>1</v>
      </c>
    </row>
    <row r="72" spans="1:36" s="20" customFormat="1" x14ac:dyDescent="0.25">
      <c r="A72" s="8" t="s">
        <v>99</v>
      </c>
      <c r="B72" s="9">
        <v>46202.669312604165</v>
      </c>
      <c r="C72" s="8">
        <v>74</v>
      </c>
      <c r="D72" s="8">
        <v>4</v>
      </c>
      <c r="E72" s="5">
        <v>25</v>
      </c>
      <c r="F72" s="5">
        <v>6</v>
      </c>
      <c r="G72" s="5">
        <v>24</v>
      </c>
      <c r="H72" s="5">
        <v>1</v>
      </c>
      <c r="I72" s="5">
        <v>270</v>
      </c>
      <c r="J72" s="2">
        <v>16</v>
      </c>
      <c r="K72" s="2">
        <v>9</v>
      </c>
      <c r="L72" s="2">
        <v>1</v>
      </c>
      <c r="M72" s="2">
        <v>4</v>
      </c>
      <c r="N72" s="2">
        <v>1</v>
      </c>
      <c r="O72" s="2">
        <v>2</v>
      </c>
      <c r="P72" s="2">
        <v>1</v>
      </c>
      <c r="Q72" s="2">
        <v>7</v>
      </c>
      <c r="R72" s="2">
        <v>340</v>
      </c>
      <c r="S72" s="12">
        <v>740</v>
      </c>
      <c r="T72" s="12">
        <v>10</v>
      </c>
      <c r="U72" s="12">
        <v>0</v>
      </c>
      <c r="V72" s="12">
        <v>10</v>
      </c>
      <c r="W72" s="18" t="s">
        <v>37</v>
      </c>
      <c r="X72" s="18" t="s">
        <v>37</v>
      </c>
      <c r="Y72" s="18" t="s">
        <v>37</v>
      </c>
      <c r="Z72" s="18" t="s">
        <v>37</v>
      </c>
      <c r="AA72" s="18" t="s">
        <v>37</v>
      </c>
      <c r="AB72" s="18" t="s">
        <v>37</v>
      </c>
      <c r="AC72" s="18" t="s">
        <v>37</v>
      </c>
      <c r="AD72" s="18" t="s">
        <v>37</v>
      </c>
      <c r="AE72" s="18" t="s">
        <v>37</v>
      </c>
      <c r="AF72" s="18" t="s">
        <v>37</v>
      </c>
      <c r="AG72" s="12" t="b">
        <v>1</v>
      </c>
      <c r="AH72" s="12" t="b">
        <v>1</v>
      </c>
      <c r="AI72" s="12" t="b">
        <v>1</v>
      </c>
      <c r="AJ72" s="12" t="b">
        <v>1</v>
      </c>
    </row>
    <row r="73" spans="1:36" s="20" customFormat="1" x14ac:dyDescent="0.25">
      <c r="A73" s="8" t="s">
        <v>100</v>
      </c>
      <c r="B73" s="9">
        <v>46202.671923958333</v>
      </c>
      <c r="C73" s="8">
        <v>75</v>
      </c>
      <c r="D73" s="8">
        <v>4</v>
      </c>
      <c r="E73" s="5">
        <v>13</v>
      </c>
      <c r="F73" s="5">
        <v>14</v>
      </c>
      <c r="G73" s="5">
        <v>13</v>
      </c>
      <c r="H73" s="5">
        <v>0</v>
      </c>
      <c r="I73" s="5">
        <v>130</v>
      </c>
      <c r="J73" s="2">
        <v>11</v>
      </c>
      <c r="K73" s="2">
        <v>4</v>
      </c>
      <c r="L73" s="2">
        <v>1</v>
      </c>
      <c r="M73" s="2">
        <v>0</v>
      </c>
      <c r="N73" s="2">
        <v>2</v>
      </c>
      <c r="O73" s="2">
        <v>0</v>
      </c>
      <c r="P73" s="2">
        <v>1</v>
      </c>
      <c r="Q73" s="2">
        <v>14</v>
      </c>
      <c r="R73" s="2">
        <v>200</v>
      </c>
      <c r="S73" s="12">
        <v>585</v>
      </c>
      <c r="T73" s="12">
        <v>9</v>
      </c>
      <c r="U73" s="12">
        <v>1</v>
      </c>
      <c r="V73" s="12">
        <v>10</v>
      </c>
      <c r="W73" s="18" t="s">
        <v>38</v>
      </c>
      <c r="X73" s="18" t="s">
        <v>37</v>
      </c>
      <c r="Y73" s="18" t="s">
        <v>37</v>
      </c>
      <c r="Z73" s="18" t="s">
        <v>37</v>
      </c>
      <c r="AA73" s="18" t="s">
        <v>37</v>
      </c>
      <c r="AB73" s="18" t="s">
        <v>37</v>
      </c>
      <c r="AC73" s="18" t="s">
        <v>37</v>
      </c>
      <c r="AD73" s="18" t="s">
        <v>37</v>
      </c>
      <c r="AE73" s="18" t="s">
        <v>37</v>
      </c>
      <c r="AF73" s="18" t="s">
        <v>37</v>
      </c>
      <c r="AG73" s="12" t="b">
        <v>1</v>
      </c>
      <c r="AH73" s="12" t="b">
        <v>1</v>
      </c>
      <c r="AI73" s="12" t="b">
        <v>1</v>
      </c>
      <c r="AJ73" s="12" t="b">
        <v>1</v>
      </c>
    </row>
    <row r="74" spans="1:36" s="20" customFormat="1" x14ac:dyDescent="0.25">
      <c r="A74" s="8" t="s">
        <v>101</v>
      </c>
      <c r="B74" s="9">
        <v>46202.675201226855</v>
      </c>
      <c r="C74" s="8">
        <v>76</v>
      </c>
      <c r="D74" s="8">
        <v>4</v>
      </c>
      <c r="E74" s="5">
        <v>2</v>
      </c>
      <c r="F74" s="5">
        <v>15</v>
      </c>
      <c r="G74" s="5">
        <v>1</v>
      </c>
      <c r="H74" s="5">
        <v>1</v>
      </c>
      <c r="I74" s="5">
        <v>40</v>
      </c>
      <c r="J74" s="2">
        <v>6</v>
      </c>
      <c r="K74" s="2">
        <v>3</v>
      </c>
      <c r="L74" s="2">
        <v>0</v>
      </c>
      <c r="M74" s="2">
        <v>0</v>
      </c>
      <c r="N74" s="2">
        <v>1</v>
      </c>
      <c r="O74" s="2">
        <v>2</v>
      </c>
      <c r="P74" s="2">
        <v>0</v>
      </c>
      <c r="Q74" s="2">
        <v>17</v>
      </c>
      <c r="R74" s="2">
        <v>70</v>
      </c>
      <c r="S74" s="12">
        <v>440</v>
      </c>
      <c r="T74" s="12">
        <v>8</v>
      </c>
      <c r="U74" s="12">
        <v>2</v>
      </c>
      <c r="V74" s="12">
        <v>10</v>
      </c>
      <c r="W74" s="18" t="s">
        <v>37</v>
      </c>
      <c r="X74" s="18" t="s">
        <v>37</v>
      </c>
      <c r="Y74" s="18" t="s">
        <v>37</v>
      </c>
      <c r="Z74" s="18" t="s">
        <v>37</v>
      </c>
      <c r="AA74" s="18" t="s">
        <v>38</v>
      </c>
      <c r="AB74" s="18" t="s">
        <v>38</v>
      </c>
      <c r="AC74" s="18" t="s">
        <v>37</v>
      </c>
      <c r="AD74" s="18" t="s">
        <v>37</v>
      </c>
      <c r="AE74" s="18" t="s">
        <v>37</v>
      </c>
      <c r="AF74" s="18" t="s">
        <v>37</v>
      </c>
      <c r="AG74" s="12" t="b">
        <v>1</v>
      </c>
      <c r="AH74" s="12" t="b">
        <v>1</v>
      </c>
      <c r="AI74" s="12" t="b">
        <v>1</v>
      </c>
      <c r="AJ74" s="12" t="b">
        <v>1</v>
      </c>
    </row>
    <row r="75" spans="1:36" s="20" customFormat="1" x14ac:dyDescent="0.25">
      <c r="A75" s="8" t="s">
        <v>102</v>
      </c>
      <c r="B75" s="9">
        <v>46202.675277789356</v>
      </c>
      <c r="C75" s="8">
        <v>77</v>
      </c>
      <c r="D75" s="8">
        <v>4</v>
      </c>
      <c r="E75" s="5">
        <v>28</v>
      </c>
      <c r="F75" s="5">
        <v>3</v>
      </c>
      <c r="G75" s="5">
        <v>26</v>
      </c>
      <c r="H75" s="5">
        <v>2</v>
      </c>
      <c r="I75" s="5">
        <v>320</v>
      </c>
      <c r="J75" s="2">
        <v>21</v>
      </c>
      <c r="K75" s="2">
        <v>7</v>
      </c>
      <c r="L75" s="2">
        <v>1</v>
      </c>
      <c r="M75" s="2">
        <v>1</v>
      </c>
      <c r="N75" s="2">
        <v>1</v>
      </c>
      <c r="O75" s="2">
        <v>3</v>
      </c>
      <c r="P75" s="2">
        <v>1</v>
      </c>
      <c r="Q75" s="2">
        <v>5</v>
      </c>
      <c r="R75" s="2">
        <v>460</v>
      </c>
      <c r="S75" s="12">
        <v>845</v>
      </c>
      <c r="T75" s="12">
        <v>9</v>
      </c>
      <c r="U75" s="12">
        <v>1</v>
      </c>
      <c r="V75" s="12">
        <v>10</v>
      </c>
      <c r="W75" s="18" t="s">
        <v>38</v>
      </c>
      <c r="X75" s="18" t="s">
        <v>37</v>
      </c>
      <c r="Y75" s="18" t="s">
        <v>37</v>
      </c>
      <c r="Z75" s="18" t="s">
        <v>37</v>
      </c>
      <c r="AA75" s="18" t="s">
        <v>37</v>
      </c>
      <c r="AB75" s="18" t="s">
        <v>37</v>
      </c>
      <c r="AC75" s="18" t="s">
        <v>37</v>
      </c>
      <c r="AD75" s="18" t="s">
        <v>37</v>
      </c>
      <c r="AE75" s="18" t="s">
        <v>37</v>
      </c>
      <c r="AF75" s="18" t="s">
        <v>37</v>
      </c>
      <c r="AG75" s="12" t="b">
        <v>1</v>
      </c>
      <c r="AH75" s="12" t="b">
        <v>1</v>
      </c>
      <c r="AI75" s="12" t="b">
        <v>1</v>
      </c>
      <c r="AJ75" s="12" t="b">
        <v>1</v>
      </c>
    </row>
    <row r="76" spans="1:36" s="20" customFormat="1" x14ac:dyDescent="0.25">
      <c r="A76" s="8" t="s">
        <v>103</v>
      </c>
      <c r="B76" s="9">
        <v>46202.675902650459</v>
      </c>
      <c r="C76" s="8">
        <v>78</v>
      </c>
      <c r="D76" s="8">
        <v>4</v>
      </c>
      <c r="E76" s="5">
        <v>10</v>
      </c>
      <c r="F76" s="5">
        <v>5</v>
      </c>
      <c r="G76" s="5">
        <v>10</v>
      </c>
      <c r="H76" s="5">
        <v>0</v>
      </c>
      <c r="I76" s="5">
        <v>100</v>
      </c>
      <c r="J76" s="2">
        <v>22</v>
      </c>
      <c r="K76" s="2">
        <v>10</v>
      </c>
      <c r="L76" s="2">
        <v>4</v>
      </c>
      <c r="M76" s="2">
        <v>1</v>
      </c>
      <c r="N76" s="2">
        <v>1</v>
      </c>
      <c r="O76" s="2">
        <v>3</v>
      </c>
      <c r="P76" s="2">
        <v>1</v>
      </c>
      <c r="Q76" s="2">
        <v>5</v>
      </c>
      <c r="R76" s="2">
        <v>220</v>
      </c>
      <c r="S76" s="12">
        <v>590</v>
      </c>
      <c r="T76" s="12">
        <v>8</v>
      </c>
      <c r="U76" s="12">
        <v>2</v>
      </c>
      <c r="V76" s="12">
        <v>10</v>
      </c>
      <c r="W76" s="18" t="s">
        <v>38</v>
      </c>
      <c r="X76" s="18" t="s">
        <v>37</v>
      </c>
      <c r="Y76" s="18" t="s">
        <v>37</v>
      </c>
      <c r="Z76" s="18" t="s">
        <v>37</v>
      </c>
      <c r="AA76" s="18" t="s">
        <v>37</v>
      </c>
      <c r="AB76" s="18" t="s">
        <v>38</v>
      </c>
      <c r="AC76" s="18" t="s">
        <v>37</v>
      </c>
      <c r="AD76" s="18" t="s">
        <v>37</v>
      </c>
      <c r="AE76" s="18" t="s">
        <v>37</v>
      </c>
      <c r="AF76" s="18" t="s">
        <v>37</v>
      </c>
      <c r="AG76" s="12" t="b">
        <v>1</v>
      </c>
      <c r="AH76" s="12" t="b">
        <v>1</v>
      </c>
      <c r="AI76" s="12" t="b">
        <v>1</v>
      </c>
      <c r="AJ76" s="12" t="b">
        <v>1</v>
      </c>
    </row>
    <row r="77" spans="1:36" s="20" customFormat="1" x14ac:dyDescent="0.25">
      <c r="A77" s="8" t="s">
        <v>104</v>
      </c>
      <c r="B77" s="9">
        <v>46202.679793252319</v>
      </c>
      <c r="C77" s="8">
        <v>79</v>
      </c>
      <c r="D77" s="8">
        <v>4</v>
      </c>
      <c r="E77" s="5">
        <v>30</v>
      </c>
      <c r="F77" s="5">
        <v>2</v>
      </c>
      <c r="G77" s="5">
        <v>19</v>
      </c>
      <c r="H77" s="5">
        <v>11</v>
      </c>
      <c r="I77" s="5">
        <v>520</v>
      </c>
      <c r="J77" s="2">
        <v>0</v>
      </c>
      <c r="K77" s="2">
        <v>2</v>
      </c>
      <c r="L77" s="2">
        <v>0</v>
      </c>
      <c r="M77" s="2">
        <v>0</v>
      </c>
      <c r="N77" s="2">
        <v>2</v>
      </c>
      <c r="O77" s="2">
        <v>0</v>
      </c>
      <c r="P77" s="2">
        <v>0</v>
      </c>
      <c r="Q77" s="2">
        <v>27</v>
      </c>
      <c r="R77" s="2">
        <v>500</v>
      </c>
      <c r="S77" s="12">
        <v>870</v>
      </c>
      <c r="T77" s="12">
        <v>8</v>
      </c>
      <c r="U77" s="12">
        <v>2</v>
      </c>
      <c r="V77" s="12">
        <v>10</v>
      </c>
      <c r="W77" s="18" t="s">
        <v>37</v>
      </c>
      <c r="X77" s="18" t="s">
        <v>37</v>
      </c>
      <c r="Y77" s="18" t="s">
        <v>37</v>
      </c>
      <c r="Z77" s="18" t="s">
        <v>38</v>
      </c>
      <c r="AA77" s="18" t="s">
        <v>37</v>
      </c>
      <c r="AB77" s="18" t="s">
        <v>37</v>
      </c>
      <c r="AC77" s="18" t="s">
        <v>37</v>
      </c>
      <c r="AD77" s="18" t="s">
        <v>38</v>
      </c>
      <c r="AE77" s="18" t="s">
        <v>37</v>
      </c>
      <c r="AF77" s="18" t="s">
        <v>37</v>
      </c>
      <c r="AG77" s="12" t="b">
        <v>1</v>
      </c>
      <c r="AH77" s="12" t="b">
        <v>1</v>
      </c>
      <c r="AI77" s="12" t="b">
        <v>1</v>
      </c>
      <c r="AJ77" s="12" t="b">
        <v>1</v>
      </c>
    </row>
    <row r="78" spans="1:36" s="20" customFormat="1" x14ac:dyDescent="0.25"/>
    <row r="79" spans="1:36" s="20" customFormat="1" ht="26.25" x14ac:dyDescent="0.25">
      <c r="V79" s="21" t="s">
        <v>115</v>
      </c>
      <c r="W79" s="21">
        <f>ROUND(COUNTIF(W2:W37, "ACERTOU") / COUNTA(W2:W37), 2) * 100</f>
        <v>72</v>
      </c>
      <c r="X79" s="21">
        <f>ROUND(COUNTIF(X2:X37, "ACERTOU") / COUNTA(X2:X37), 2) * 100</f>
        <v>86</v>
      </c>
      <c r="Y79" s="21">
        <f>ROUND(COUNTIF(Y2:Y37, "ACERTOU") / COUNTA(Y2:Y37), 2) * 100</f>
        <v>100</v>
      </c>
      <c r="Z79" s="21">
        <f>ROUND(COUNTIF(Z2:Z37, "ACERTOU") / COUNTA(Z2:Z37), 2) * 100</f>
        <v>94</v>
      </c>
      <c r="AA79" s="21">
        <f>ROUND(COUNTIF(AA2:AA37, "ACERTOU") / COUNTA(AA2:AA37), 2) * 100</f>
        <v>61</v>
      </c>
      <c r="AB79" s="21">
        <f>ROUND(COUNTIF(AB2:AB37, "ACERTOU") / COUNTA(AB2:AB37), 2) * 100</f>
        <v>83</v>
      </c>
      <c r="AC79" s="21">
        <f>ROUND(COUNTIF(AC2:AC37, "ACERTOU") / COUNTA(AC2:AC37), 2) * 100</f>
        <v>92</v>
      </c>
      <c r="AD79" s="21">
        <f>ROUND(COUNTIF(AD2:AD37, "ACERTOU") / COUNTA(AD2:AD37), 2) * 100</f>
        <v>97</v>
      </c>
      <c r="AE79" s="21">
        <f>ROUND(COUNTIF(AE2:AE37, "ACERTOU") / COUNTA(AE2:AE37), 2) * 100</f>
        <v>97</v>
      </c>
      <c r="AF79" s="21">
        <f>ROUND(COUNTIF(AF2:AF37, "ACERTOU") / COUNTA(AF2:AF37), 2) * 100</f>
        <v>97</v>
      </c>
    </row>
    <row r="80" spans="1:36" s="20" customFormat="1" ht="26.25" x14ac:dyDescent="0.25">
      <c r="V80" s="21" t="s">
        <v>116</v>
      </c>
      <c r="W80" s="21">
        <f>ROUND(COUNTIF(W38:W77, "ACERTOU") / COUNTA(W38:W77), 2) * 100</f>
        <v>63</v>
      </c>
      <c r="X80" s="21">
        <f>ROUND(COUNTIF(X38:X77, "ACERTOU") / COUNTA(X38:X77), 2) * 100</f>
        <v>93</v>
      </c>
      <c r="Y80" s="21">
        <f>ROUND(COUNTIF(Y38:Y77, "ACERTOU") / COUNTA(Y38:Y77), 2) * 100</f>
        <v>98</v>
      </c>
      <c r="Z80" s="21">
        <f>ROUND(COUNTIF(Z38:Z77, "ACERTOU") / COUNTA(Z38:Z77), 2) * 100</f>
        <v>93</v>
      </c>
      <c r="AA80" s="21">
        <f>ROUND(COUNTIF(AA38:AA77, "ACERTOU") / COUNTA(AA38:AA77), 2) * 100</f>
        <v>75</v>
      </c>
      <c r="AB80" s="21">
        <f>ROUND(COUNTIF(AB38:AB77, "ACERTOU") / COUNTA(AB38:AB77), 2) * 100</f>
        <v>85</v>
      </c>
      <c r="AC80" s="21">
        <f>ROUND(COUNTIF(AC38:AC77, "ACERTOU") / COUNTA(AC38:AC77), 2) * 100</f>
        <v>95</v>
      </c>
      <c r="AD80" s="21">
        <f>ROUND(COUNTIF(AD38:AD77, "ACERTOU") / COUNTA(AD38:AD77), 2) * 100</f>
        <v>88</v>
      </c>
      <c r="AE80" s="21">
        <f>ROUND(COUNTIF(AE38:AE77, "ACERTOU") / COUNTA(AE38:AE77), 2) * 100</f>
        <v>98</v>
      </c>
      <c r="AF80" s="21">
        <f>ROUND(COUNTIF(AF38:AF77, "ACERTOU") / COUNTA(AF38:AF77), 2) * 100</f>
        <v>95</v>
      </c>
    </row>
    <row r="81" spans="23:32" s="20" customFormat="1" ht="26.25" x14ac:dyDescent="0.25">
      <c r="W81" s="21">
        <f>ROUND(COUNTIF(W2:W77, "ACERTOU") / COUNTA(W2:W77), 2) * 100</f>
        <v>67</v>
      </c>
      <c r="X81" s="21">
        <f>ROUND(COUNTIF(X2:X77, "ACERTOU") / COUNTA(X2:X77), 2) * 100</f>
        <v>89</v>
      </c>
      <c r="Y81" s="21">
        <f>ROUND(COUNTIF(Y2:Y77, "ACERTOU") / COUNTA(Y2:Y77), 2) * 100</f>
        <v>99</v>
      </c>
      <c r="Z81" s="21">
        <f>ROUND(COUNTIF(Z2:Z77, "ACERTOU") / COUNTA(Z2:Z77), 2) * 100</f>
        <v>93</v>
      </c>
      <c r="AA81" s="21">
        <f>ROUND(COUNTIF(AA2:AA77, "ACERTOU") / COUNTA(AA2:AA77), 2) * 100</f>
        <v>68</v>
      </c>
      <c r="AB81" s="21">
        <f>ROUND(COUNTIF(AB2:AB77, "ACERTOU") / COUNTA(AB2:AB77), 2) * 100</f>
        <v>84</v>
      </c>
      <c r="AC81" s="21">
        <f>ROUND(COUNTIF(AC2:AC77, "ACERTOU") / COUNTA(AC2:AC77), 2) * 100</f>
        <v>93</v>
      </c>
      <c r="AD81" s="21">
        <f>ROUND(COUNTIF(AD2:AD77, "ACERTOU") / COUNTA(AD2:AD77), 2) * 100</f>
        <v>92</v>
      </c>
      <c r="AE81" s="21">
        <f>ROUND(COUNTIF(AE2:AE77, "ACERTOU") / COUNTA(AE2:AE77), 2) * 100</f>
        <v>97</v>
      </c>
      <c r="AF81" s="21">
        <f>ROUND(COUNTIF(AF2:AF77, "ACERTOU") / COUNTA(AF2:AF77), 2) * 100</f>
        <v>96</v>
      </c>
    </row>
    <row r="82" spans="23:32" s="20" customFormat="1" x14ac:dyDescent="0.25"/>
    <row r="83" spans="23:32" s="20" customFormat="1" x14ac:dyDescent="0.25"/>
    <row r="84" spans="23:32" s="20" customFormat="1" x14ac:dyDescent="0.25"/>
    <row r="85" spans="23:32" s="20" customFormat="1" x14ac:dyDescent="0.25"/>
    <row r="86" spans="23:32" s="20" customFormat="1" x14ac:dyDescent="0.25"/>
    <row r="87" spans="23:32" s="20" customFormat="1" x14ac:dyDescent="0.25"/>
    <row r="88" spans="23:32" s="20" customFormat="1" x14ac:dyDescent="0.25"/>
    <row r="89" spans="23:32" s="20" customFormat="1" x14ac:dyDescent="0.25"/>
    <row r="90" spans="23:32" s="20" customFormat="1" x14ac:dyDescent="0.25"/>
    <row r="91" spans="23:32" s="20" customFormat="1" x14ac:dyDescent="0.25"/>
    <row r="92" spans="23:32" s="20" customFormat="1" x14ac:dyDescent="0.25"/>
    <row r="93" spans="23:32" s="20" customFormat="1" x14ac:dyDescent="0.25"/>
    <row r="94" spans="23:32" s="20" customFormat="1" x14ac:dyDescent="0.25"/>
    <row r="95" spans="23:32" s="20" customFormat="1" x14ac:dyDescent="0.25"/>
    <row r="96" spans="23:32" s="20" customFormat="1" x14ac:dyDescent="0.25"/>
    <row r="97" s="20" customFormat="1" x14ac:dyDescent="0.25"/>
    <row r="98" s="20" customFormat="1" x14ac:dyDescent="0.25"/>
    <row r="99" s="20" customFormat="1" x14ac:dyDescent="0.25"/>
    <row r="100" s="20" customFormat="1" x14ac:dyDescent="0.25"/>
    <row r="101" s="20" customFormat="1" x14ac:dyDescent="0.25"/>
    <row r="102" s="20" customFormat="1" x14ac:dyDescent="0.25"/>
    <row r="103" s="20" customFormat="1" x14ac:dyDescent="0.25"/>
    <row r="104" s="20" customFormat="1" x14ac:dyDescent="0.25"/>
    <row r="105" s="20" customFormat="1" x14ac:dyDescent="0.25"/>
    <row r="106" s="20" customFormat="1" x14ac:dyDescent="0.25"/>
    <row r="107" s="20" customFormat="1" x14ac:dyDescent="0.25"/>
    <row r="108" s="20" customFormat="1" x14ac:dyDescent="0.25"/>
    <row r="109" s="20" customFormat="1" x14ac:dyDescent="0.25"/>
    <row r="110" s="20" customFormat="1" x14ac:dyDescent="0.25"/>
    <row r="111" s="20" customFormat="1" x14ac:dyDescent="0.25"/>
    <row r="112" s="20" customFormat="1" x14ac:dyDescent="0.25"/>
    <row r="113" s="20" customFormat="1" x14ac:dyDescent="0.25"/>
    <row r="114" s="20" customFormat="1" x14ac:dyDescent="0.25"/>
    <row r="115" s="20" customFormat="1" x14ac:dyDescent="0.25"/>
    <row r="116" s="20" customFormat="1" x14ac:dyDescent="0.25"/>
    <row r="117" s="20" customFormat="1" x14ac:dyDescent="0.25"/>
    <row r="118" s="20" customFormat="1" x14ac:dyDescent="0.25"/>
    <row r="119" s="20" customFormat="1" x14ac:dyDescent="0.25"/>
    <row r="120" s="20" customFormat="1" x14ac:dyDescent="0.25"/>
    <row r="121" s="20" customFormat="1" x14ac:dyDescent="0.25"/>
    <row r="122" s="20" customFormat="1" x14ac:dyDescent="0.25"/>
    <row r="123" s="20" customFormat="1" x14ac:dyDescent="0.25"/>
    <row r="124" s="20" customFormat="1" x14ac:dyDescent="0.25"/>
    <row r="125" s="20" customFormat="1" x14ac:dyDescent="0.25"/>
    <row r="126" s="20" customFormat="1" x14ac:dyDescent="0.25"/>
    <row r="127" s="20" customFormat="1" x14ac:dyDescent="0.25"/>
    <row r="128" s="20" customFormat="1" x14ac:dyDescent="0.25"/>
    <row r="129" s="20" customFormat="1" x14ac:dyDescent="0.25"/>
    <row r="130" s="20" customFormat="1" x14ac:dyDescent="0.25"/>
    <row r="131" s="20" customFormat="1" x14ac:dyDescent="0.25"/>
    <row r="132" s="20" customFormat="1" x14ac:dyDescent="0.25"/>
    <row r="133" s="20" customFormat="1" x14ac:dyDescent="0.25"/>
    <row r="134" s="20" customFormat="1" x14ac:dyDescent="0.25"/>
    <row r="135" s="20" customFormat="1" x14ac:dyDescent="0.25"/>
    <row r="136" s="20" customFormat="1" x14ac:dyDescent="0.25"/>
    <row r="137" s="20" customFormat="1" x14ac:dyDescent="0.25"/>
    <row r="138" s="20" customFormat="1" x14ac:dyDescent="0.25"/>
    <row r="139" s="20" customFormat="1" x14ac:dyDescent="0.25"/>
    <row r="140" s="20" customFormat="1" x14ac:dyDescent="0.25"/>
    <row r="141" s="20" customFormat="1" x14ac:dyDescent="0.25"/>
    <row r="142" s="20" customFormat="1" x14ac:dyDescent="0.25"/>
    <row r="143" s="20" customFormat="1" x14ac:dyDescent="0.25"/>
    <row r="144" s="20" customFormat="1" x14ac:dyDescent="0.25"/>
    <row r="145" s="20" customFormat="1" x14ac:dyDescent="0.25"/>
    <row r="146" s="20" customFormat="1" x14ac:dyDescent="0.25"/>
    <row r="147" s="20" customFormat="1" x14ac:dyDescent="0.25"/>
    <row r="148" s="20" customFormat="1" x14ac:dyDescent="0.25"/>
    <row r="149" s="20" customFormat="1" x14ac:dyDescent="0.25"/>
    <row r="150" s="20" customFormat="1" x14ac:dyDescent="0.25"/>
    <row r="151" s="20" customFormat="1" x14ac:dyDescent="0.25"/>
    <row r="152" s="20" customFormat="1" x14ac:dyDescent="0.25"/>
    <row r="153" s="20" customFormat="1" x14ac:dyDescent="0.25"/>
    <row r="154" s="20" customFormat="1" x14ac:dyDescent="0.25"/>
    <row r="155" s="20" customFormat="1" x14ac:dyDescent="0.25"/>
    <row r="156" s="20" customFormat="1" x14ac:dyDescent="0.25"/>
    <row r="157" s="20" customFormat="1" x14ac:dyDescent="0.25"/>
    <row r="158" s="20" customFormat="1" x14ac:dyDescent="0.25"/>
    <row r="159" s="20" customFormat="1" x14ac:dyDescent="0.25"/>
    <row r="160" s="20" customFormat="1" x14ac:dyDescent="0.25"/>
    <row r="161" s="20" customFormat="1" x14ac:dyDescent="0.25"/>
    <row r="162" s="20" customFormat="1" x14ac:dyDescent="0.25"/>
    <row r="163" s="20" customFormat="1" x14ac:dyDescent="0.25"/>
    <row r="164" s="20" customFormat="1" x14ac:dyDescent="0.25"/>
    <row r="165" s="20" customFormat="1" x14ac:dyDescent="0.25"/>
    <row r="166" s="20" customFormat="1" x14ac:dyDescent="0.25"/>
    <row r="167" s="20" customFormat="1" x14ac:dyDescent="0.25"/>
    <row r="168" s="20" customFormat="1" x14ac:dyDescent="0.25"/>
    <row r="169" s="20" customFormat="1" x14ac:dyDescent="0.25"/>
    <row r="170" s="20" customFormat="1" x14ac:dyDescent="0.25"/>
    <row r="171" s="20" customFormat="1" x14ac:dyDescent="0.25"/>
    <row r="172" s="20" customFormat="1" x14ac:dyDescent="0.25"/>
    <row r="173" s="20" customFormat="1" x14ac:dyDescent="0.25"/>
    <row r="174" s="20" customFormat="1" x14ac:dyDescent="0.25"/>
    <row r="175" s="20" customFormat="1" x14ac:dyDescent="0.25"/>
    <row r="176" s="20" customFormat="1" x14ac:dyDescent="0.25"/>
    <row r="177" s="20" customFormat="1" x14ac:dyDescent="0.25"/>
    <row r="178" s="20" customFormat="1" x14ac:dyDescent="0.25"/>
    <row r="179" s="20" customFormat="1" x14ac:dyDescent="0.25"/>
    <row r="180" s="20" customFormat="1" x14ac:dyDescent="0.25"/>
    <row r="181" s="20" customFormat="1" x14ac:dyDescent="0.25"/>
    <row r="182" s="20" customFormat="1" x14ac:dyDescent="0.25"/>
    <row r="183" s="20" customFormat="1" x14ac:dyDescent="0.25"/>
    <row r="184" s="20" customFormat="1" x14ac:dyDescent="0.25"/>
    <row r="185" s="20" customFormat="1" x14ac:dyDescent="0.25"/>
    <row r="186" s="20" customFormat="1" x14ac:dyDescent="0.25"/>
    <row r="187" s="20" customFormat="1" x14ac:dyDescent="0.25"/>
    <row r="188" s="20" customFormat="1" x14ac:dyDescent="0.25"/>
    <row r="189" s="20" customFormat="1" x14ac:dyDescent="0.25"/>
    <row r="190" s="20" customFormat="1" x14ac:dyDescent="0.25"/>
    <row r="191" s="20" customFormat="1" x14ac:dyDescent="0.25"/>
    <row r="192" s="20" customFormat="1" x14ac:dyDescent="0.25"/>
    <row r="193" s="20" customFormat="1" x14ac:dyDescent="0.25"/>
    <row r="194" s="20" customFormat="1" x14ac:dyDescent="0.25"/>
    <row r="195" s="20" customFormat="1" x14ac:dyDescent="0.25"/>
    <row r="196" s="20" customFormat="1" x14ac:dyDescent="0.25"/>
    <row r="197" s="20" customFormat="1" x14ac:dyDescent="0.25"/>
    <row r="198" s="20" customFormat="1" x14ac:dyDescent="0.25"/>
    <row r="199" s="20" customFormat="1" x14ac:dyDescent="0.25"/>
    <row r="200" s="20" customFormat="1" x14ac:dyDescent="0.25"/>
    <row r="201" s="20" customFormat="1" x14ac:dyDescent="0.25"/>
    <row r="202" s="20" customFormat="1" x14ac:dyDescent="0.25"/>
    <row r="203" s="20" customFormat="1" x14ac:dyDescent="0.25"/>
    <row r="204" s="20" customFormat="1" x14ac:dyDescent="0.25"/>
    <row r="205" s="20" customFormat="1" x14ac:dyDescent="0.25"/>
    <row r="206" s="20" customFormat="1" x14ac:dyDescent="0.25"/>
    <row r="207" s="20" customFormat="1" x14ac:dyDescent="0.25"/>
    <row r="208" s="20" customFormat="1" x14ac:dyDescent="0.25"/>
    <row r="209" s="20" customFormat="1" x14ac:dyDescent="0.25"/>
    <row r="210" s="20" customFormat="1" x14ac:dyDescent="0.25"/>
    <row r="211" s="20" customFormat="1" x14ac:dyDescent="0.25"/>
    <row r="212" s="20" customFormat="1" x14ac:dyDescent="0.25"/>
    <row r="213" s="20" customFormat="1" x14ac:dyDescent="0.25"/>
    <row r="214" s="20" customFormat="1" x14ac:dyDescent="0.25"/>
    <row r="215" s="20" customFormat="1" x14ac:dyDescent="0.25"/>
    <row r="216" s="20" customFormat="1" x14ac:dyDescent="0.25"/>
    <row r="217" s="20" customFormat="1" x14ac:dyDescent="0.25"/>
    <row r="218" s="20" customFormat="1" x14ac:dyDescent="0.25"/>
    <row r="219" s="20" customFormat="1" x14ac:dyDescent="0.25"/>
    <row r="220" s="20" customFormat="1" x14ac:dyDescent="0.25"/>
    <row r="221" s="20" customFormat="1" x14ac:dyDescent="0.25"/>
    <row r="222" s="20" customFormat="1" x14ac:dyDescent="0.25"/>
    <row r="223" s="20" customFormat="1" x14ac:dyDescent="0.25"/>
    <row r="224" s="20" customFormat="1" x14ac:dyDescent="0.25"/>
    <row r="225" s="20" customFormat="1" x14ac:dyDescent="0.25"/>
    <row r="226" s="20" customFormat="1" x14ac:dyDescent="0.25"/>
    <row r="227" s="20" customFormat="1" x14ac:dyDescent="0.25"/>
    <row r="228" s="20" customFormat="1" x14ac:dyDescent="0.25"/>
    <row r="229" s="20" customFormat="1" x14ac:dyDescent="0.25"/>
    <row r="230" s="20" customFormat="1" x14ac:dyDescent="0.25"/>
    <row r="231" s="20" customFormat="1" x14ac:dyDescent="0.25"/>
    <row r="232" s="20" customFormat="1" x14ac:dyDescent="0.25"/>
    <row r="233" s="20" customFormat="1" x14ac:dyDescent="0.25"/>
    <row r="234" s="20" customFormat="1" x14ac:dyDescent="0.25"/>
    <row r="235" s="20" customFormat="1" x14ac:dyDescent="0.25"/>
    <row r="236" s="20" customFormat="1" x14ac:dyDescent="0.25"/>
    <row r="237" s="20" customFormat="1" x14ac:dyDescent="0.25"/>
    <row r="238" s="20" customFormat="1" x14ac:dyDescent="0.25"/>
    <row r="239" s="20" customFormat="1" x14ac:dyDescent="0.25"/>
    <row r="240" s="20" customFormat="1" x14ac:dyDescent="0.25"/>
    <row r="241" s="20" customFormat="1" x14ac:dyDescent="0.25"/>
    <row r="242" s="20" customFormat="1" x14ac:dyDescent="0.25"/>
    <row r="243" s="20" customFormat="1" x14ac:dyDescent="0.25"/>
    <row r="244" s="20" customFormat="1" x14ac:dyDescent="0.25"/>
    <row r="245" s="20" customFormat="1" x14ac:dyDescent="0.25"/>
    <row r="246" s="20" customFormat="1" x14ac:dyDescent="0.25"/>
    <row r="247" s="20" customFormat="1" x14ac:dyDescent="0.25"/>
    <row r="248" s="20" customFormat="1" x14ac:dyDescent="0.25"/>
    <row r="249" s="20" customFormat="1" x14ac:dyDescent="0.25"/>
    <row r="250" s="20" customFormat="1" x14ac:dyDescent="0.25"/>
    <row r="251" s="20" customFormat="1" x14ac:dyDescent="0.25"/>
    <row r="252" s="20" customFormat="1" x14ac:dyDescent="0.25"/>
    <row r="253" s="20" customFormat="1" x14ac:dyDescent="0.25"/>
    <row r="254" s="20" customFormat="1" x14ac:dyDescent="0.25"/>
    <row r="255" s="20" customFormat="1" x14ac:dyDescent="0.25"/>
    <row r="256" s="20" customFormat="1" x14ac:dyDescent="0.25"/>
    <row r="257" s="20" customFormat="1" x14ac:dyDescent="0.25"/>
    <row r="258" s="20" customFormat="1" x14ac:dyDescent="0.25"/>
    <row r="259" s="20" customFormat="1" x14ac:dyDescent="0.25"/>
    <row r="260" s="20" customFormat="1" x14ac:dyDescent="0.25"/>
    <row r="261" s="20" customFormat="1" x14ac:dyDescent="0.25"/>
    <row r="262" s="20" customFormat="1" x14ac:dyDescent="0.25"/>
    <row r="263" s="20" customFormat="1" x14ac:dyDescent="0.25"/>
    <row r="264" s="20" customFormat="1" x14ac:dyDescent="0.25"/>
    <row r="265" s="20" customFormat="1" x14ac:dyDescent="0.25"/>
    <row r="266" s="20" customFormat="1" x14ac:dyDescent="0.25"/>
    <row r="267" s="20" customFormat="1" x14ac:dyDescent="0.25"/>
    <row r="268" s="20" customFormat="1" x14ac:dyDescent="0.25"/>
    <row r="269" s="20" customFormat="1" x14ac:dyDescent="0.25"/>
    <row r="270" s="20" customFormat="1" x14ac:dyDescent="0.25"/>
    <row r="271" s="20" customFormat="1" x14ac:dyDescent="0.25"/>
    <row r="272" s="20" customFormat="1" x14ac:dyDescent="0.25"/>
    <row r="273" s="20" customFormat="1" x14ac:dyDescent="0.25"/>
    <row r="274" s="20" customFormat="1" x14ac:dyDescent="0.25"/>
    <row r="275" s="20" customFormat="1" x14ac:dyDescent="0.25"/>
    <row r="276" s="20" customFormat="1" x14ac:dyDescent="0.25"/>
    <row r="277" s="20" customFormat="1" x14ac:dyDescent="0.25"/>
    <row r="278" s="20" customFormat="1" x14ac:dyDescent="0.25"/>
    <row r="279" s="20" customFormat="1" x14ac:dyDescent="0.25"/>
    <row r="280" s="20" customFormat="1" x14ac:dyDescent="0.25"/>
    <row r="281" s="20" customFormat="1" x14ac:dyDescent="0.25"/>
    <row r="282" s="20" customFormat="1" x14ac:dyDescent="0.25"/>
    <row r="283" s="20" customFormat="1" x14ac:dyDescent="0.25"/>
    <row r="284" s="20" customFormat="1" x14ac:dyDescent="0.25"/>
    <row r="285" s="20" customFormat="1" x14ac:dyDescent="0.25"/>
    <row r="286" s="20" customFormat="1" x14ac:dyDescent="0.25"/>
    <row r="287" s="20" customFormat="1" x14ac:dyDescent="0.25"/>
    <row r="288" s="20" customFormat="1" x14ac:dyDescent="0.25"/>
    <row r="289" s="20" customFormat="1" x14ac:dyDescent="0.25"/>
    <row r="290" s="20" customFormat="1" x14ac:dyDescent="0.25"/>
    <row r="291" s="20" customFormat="1" x14ac:dyDescent="0.25"/>
    <row r="292" s="20" customFormat="1" x14ac:dyDescent="0.25"/>
    <row r="293" s="20" customFormat="1" x14ac:dyDescent="0.25"/>
    <row r="294" s="20" customFormat="1" x14ac:dyDescent="0.25"/>
    <row r="295" s="20" customFormat="1" x14ac:dyDescent="0.25"/>
    <row r="296" s="20" customFormat="1" x14ac:dyDescent="0.25"/>
    <row r="297" s="20" customFormat="1" x14ac:dyDescent="0.25"/>
    <row r="298" s="20" customFormat="1" x14ac:dyDescent="0.25"/>
    <row r="299" s="20" customFormat="1" x14ac:dyDescent="0.25"/>
    <row r="300" s="20" customFormat="1" x14ac:dyDescent="0.25"/>
    <row r="301" s="20" customFormat="1" x14ac:dyDescent="0.25"/>
    <row r="302" s="20" customFormat="1" x14ac:dyDescent="0.25"/>
    <row r="303" s="20" customFormat="1" x14ac:dyDescent="0.25"/>
    <row r="304" s="20" customFormat="1" x14ac:dyDescent="0.25"/>
    <row r="305" s="20" customFormat="1" x14ac:dyDescent="0.25"/>
    <row r="306" s="20" customFormat="1" x14ac:dyDescent="0.25"/>
    <row r="307" s="20" customFormat="1" x14ac:dyDescent="0.25"/>
    <row r="308" s="20" customFormat="1" x14ac:dyDescent="0.25"/>
    <row r="309" s="20" customFormat="1" x14ac:dyDescent="0.25"/>
    <row r="310" s="20" customFormat="1" x14ac:dyDescent="0.25"/>
    <row r="311" s="20" customFormat="1" x14ac:dyDescent="0.25"/>
    <row r="312" s="20" customFormat="1" x14ac:dyDescent="0.25"/>
    <row r="313" s="20" customFormat="1" x14ac:dyDescent="0.25"/>
    <row r="314" s="20" customFormat="1" x14ac:dyDescent="0.25"/>
    <row r="315" s="20" customFormat="1" x14ac:dyDescent="0.25"/>
    <row r="316" s="20" customFormat="1" x14ac:dyDescent="0.25"/>
    <row r="317" s="20" customFormat="1" x14ac:dyDescent="0.25"/>
    <row r="318" s="20" customFormat="1" x14ac:dyDescent="0.25"/>
    <row r="319" s="20" customFormat="1" x14ac:dyDescent="0.25"/>
    <row r="320" s="20" customFormat="1" x14ac:dyDescent="0.25"/>
    <row r="321" s="20" customFormat="1" x14ac:dyDescent="0.25"/>
    <row r="322" s="20" customFormat="1" x14ac:dyDescent="0.25"/>
    <row r="323" s="20" customFormat="1" x14ac:dyDescent="0.25"/>
    <row r="324" s="20" customFormat="1" x14ac:dyDescent="0.25"/>
    <row r="325" s="20" customFormat="1" x14ac:dyDescent="0.25"/>
    <row r="326" s="20" customFormat="1" x14ac:dyDescent="0.25"/>
    <row r="327" s="20" customFormat="1" x14ac:dyDescent="0.25"/>
    <row r="328" s="20" customFormat="1" x14ac:dyDescent="0.25"/>
    <row r="329" s="20" customFormat="1" x14ac:dyDescent="0.25"/>
    <row r="330" s="20" customFormat="1" x14ac:dyDescent="0.25"/>
    <row r="331" s="20" customFormat="1" x14ac:dyDescent="0.25"/>
    <row r="332" s="20" customFormat="1" x14ac:dyDescent="0.25"/>
    <row r="333" s="20" customFormat="1" x14ac:dyDescent="0.25"/>
    <row r="334" s="20" customFormat="1" x14ac:dyDescent="0.25"/>
    <row r="335" s="20" customFormat="1" x14ac:dyDescent="0.25"/>
    <row r="336" s="20" customFormat="1" x14ac:dyDescent="0.25"/>
    <row r="337" s="20" customFormat="1" x14ac:dyDescent="0.25"/>
    <row r="338" s="20" customFormat="1" x14ac:dyDescent="0.25"/>
    <row r="339" s="20" customFormat="1" x14ac:dyDescent="0.25"/>
    <row r="340" s="20" customFormat="1" x14ac:dyDescent="0.25"/>
    <row r="341" s="20" customFormat="1" x14ac:dyDescent="0.25"/>
    <row r="342" s="20" customFormat="1" x14ac:dyDescent="0.25"/>
    <row r="343" s="20" customFormat="1" x14ac:dyDescent="0.25"/>
    <row r="344" s="20" customFormat="1" x14ac:dyDescent="0.25"/>
    <row r="345" s="20" customFormat="1" x14ac:dyDescent="0.25"/>
    <row r="346" s="20" customFormat="1" x14ac:dyDescent="0.25"/>
    <row r="347" s="20" customFormat="1" x14ac:dyDescent="0.25"/>
    <row r="348" s="20" customFormat="1" x14ac:dyDescent="0.25"/>
    <row r="349" s="20" customFormat="1" x14ac:dyDescent="0.25"/>
    <row r="350" s="20" customFormat="1" x14ac:dyDescent="0.25"/>
    <row r="351" s="20" customFormat="1" x14ac:dyDescent="0.25"/>
    <row r="352" s="20" customFormat="1" x14ac:dyDescent="0.25"/>
    <row r="353" s="20" customFormat="1" x14ac:dyDescent="0.25"/>
    <row r="354" s="20" customFormat="1" x14ac:dyDescent="0.25"/>
    <row r="355" s="20" customFormat="1" x14ac:dyDescent="0.25"/>
    <row r="356" s="20" customFormat="1" x14ac:dyDescent="0.25"/>
    <row r="357" s="20" customFormat="1" x14ac:dyDescent="0.25"/>
    <row r="358" s="20" customFormat="1" x14ac:dyDescent="0.25"/>
    <row r="359" s="20" customFormat="1" x14ac:dyDescent="0.25"/>
    <row r="360" s="20" customFormat="1" x14ac:dyDescent="0.25"/>
    <row r="361" s="20" customFormat="1" x14ac:dyDescent="0.25"/>
    <row r="362" s="20" customFormat="1" x14ac:dyDescent="0.25"/>
    <row r="363" s="20" customFormat="1" x14ac:dyDescent="0.25"/>
    <row r="364" s="20" customFormat="1" x14ac:dyDescent="0.25"/>
    <row r="365" s="20" customFormat="1" x14ac:dyDescent="0.25"/>
    <row r="366" s="20" customFormat="1" x14ac:dyDescent="0.25"/>
    <row r="367" s="20" customFormat="1" x14ac:dyDescent="0.25"/>
    <row r="368" s="20" customFormat="1" x14ac:dyDescent="0.25"/>
    <row r="369" s="20" customFormat="1" x14ac:dyDescent="0.25"/>
    <row r="370" s="20" customFormat="1" x14ac:dyDescent="0.25"/>
    <row r="371" s="20" customFormat="1" x14ac:dyDescent="0.25"/>
    <row r="372" s="20" customFormat="1" x14ac:dyDescent="0.25"/>
    <row r="373" s="20" customFormat="1" x14ac:dyDescent="0.25"/>
    <row r="374" s="20" customFormat="1" x14ac:dyDescent="0.25"/>
    <row r="375" s="20" customFormat="1" x14ac:dyDescent="0.25"/>
    <row r="376" s="20" customFormat="1" x14ac:dyDescent="0.25"/>
    <row r="377" s="20" customFormat="1" x14ac:dyDescent="0.25"/>
    <row r="378" s="20" customFormat="1" x14ac:dyDescent="0.25"/>
    <row r="379" s="20" customFormat="1" x14ac:dyDescent="0.25"/>
    <row r="380" s="20" customFormat="1" x14ac:dyDescent="0.25"/>
    <row r="381" s="20" customFormat="1" x14ac:dyDescent="0.25"/>
    <row r="382" s="20" customFormat="1" x14ac:dyDescent="0.25"/>
    <row r="383" s="20" customFormat="1" x14ac:dyDescent="0.25"/>
    <row r="384" s="20" customFormat="1" x14ac:dyDescent="0.25"/>
    <row r="385" s="20" customFormat="1" x14ac:dyDescent="0.25"/>
    <row r="386" s="20" customFormat="1" x14ac:dyDescent="0.25"/>
    <row r="387" s="20" customFormat="1" x14ac:dyDescent="0.25"/>
    <row r="388" s="20" customFormat="1" x14ac:dyDescent="0.25"/>
    <row r="389" s="20" customFormat="1" x14ac:dyDescent="0.25"/>
    <row r="390" s="20" customFormat="1" x14ac:dyDescent="0.25"/>
    <row r="391" s="20" customFormat="1" x14ac:dyDescent="0.25"/>
    <row r="392" s="20" customFormat="1" x14ac:dyDescent="0.25"/>
    <row r="393" s="20" customFormat="1" x14ac:dyDescent="0.25"/>
    <row r="394" s="20" customFormat="1" x14ac:dyDescent="0.25"/>
    <row r="395" s="20" customFormat="1" x14ac:dyDescent="0.25"/>
    <row r="396" s="20" customFormat="1" x14ac:dyDescent="0.25"/>
    <row r="397" s="20" customFormat="1" x14ac:dyDescent="0.25"/>
    <row r="398" s="20" customFormat="1" x14ac:dyDescent="0.25"/>
    <row r="399" s="20" customFormat="1" x14ac:dyDescent="0.25"/>
    <row r="400" s="20" customFormat="1" x14ac:dyDescent="0.25"/>
    <row r="401" s="20" customFormat="1" x14ac:dyDescent="0.25"/>
    <row r="402" s="20" customFormat="1" x14ac:dyDescent="0.25"/>
    <row r="403" s="20" customFormat="1" x14ac:dyDescent="0.25"/>
    <row r="404" s="20" customFormat="1" x14ac:dyDescent="0.25"/>
    <row r="405" s="20" customFormat="1" x14ac:dyDescent="0.25"/>
    <row r="406" s="20" customFormat="1" x14ac:dyDescent="0.25"/>
    <row r="407" s="20" customFormat="1" x14ac:dyDescent="0.25"/>
    <row r="408" s="20" customFormat="1" x14ac:dyDescent="0.25"/>
    <row r="409" s="20" customFormat="1" x14ac:dyDescent="0.25"/>
    <row r="410" s="20" customFormat="1" x14ac:dyDescent="0.25"/>
    <row r="411" s="20" customFormat="1" x14ac:dyDescent="0.25"/>
    <row r="412" s="20" customFormat="1" x14ac:dyDescent="0.25"/>
    <row r="413" s="20" customFormat="1" x14ac:dyDescent="0.25"/>
    <row r="414" s="20" customFormat="1" x14ac:dyDescent="0.25"/>
    <row r="415" s="20" customFormat="1" x14ac:dyDescent="0.25"/>
    <row r="416" s="20" customFormat="1" x14ac:dyDescent="0.25"/>
    <row r="417" s="20" customFormat="1" x14ac:dyDescent="0.25"/>
    <row r="418" s="20" customFormat="1" x14ac:dyDescent="0.25"/>
    <row r="419" s="20" customFormat="1" x14ac:dyDescent="0.25"/>
    <row r="420" s="20" customFormat="1" x14ac:dyDescent="0.25"/>
    <row r="421" s="20" customFormat="1" x14ac:dyDescent="0.25"/>
    <row r="422" s="20" customFormat="1" x14ac:dyDescent="0.25"/>
    <row r="423" s="20" customFormat="1" x14ac:dyDescent="0.25"/>
    <row r="424" s="20" customFormat="1" x14ac:dyDescent="0.25"/>
    <row r="425" s="20" customFormat="1" x14ac:dyDescent="0.25"/>
    <row r="426" s="20" customFormat="1" x14ac:dyDescent="0.25"/>
    <row r="427" s="20" customFormat="1" x14ac:dyDescent="0.25"/>
    <row r="428" s="20" customFormat="1" x14ac:dyDescent="0.25"/>
    <row r="429" s="20" customFormat="1" x14ac:dyDescent="0.25"/>
    <row r="430" s="20" customFormat="1" x14ac:dyDescent="0.25"/>
    <row r="431" s="20" customFormat="1" x14ac:dyDescent="0.25"/>
    <row r="432" s="20" customFormat="1" x14ac:dyDescent="0.25"/>
    <row r="433" s="20" customFormat="1" x14ac:dyDescent="0.25"/>
    <row r="434" s="20" customFormat="1" x14ac:dyDescent="0.25"/>
    <row r="435" s="20" customFormat="1" x14ac:dyDescent="0.25"/>
    <row r="436" s="20" customFormat="1" x14ac:dyDescent="0.25"/>
    <row r="437" s="20" customFormat="1" x14ac:dyDescent="0.25"/>
    <row r="438" s="20" customFormat="1" x14ac:dyDescent="0.25"/>
    <row r="439" s="20" customFormat="1" x14ac:dyDescent="0.25"/>
    <row r="440" s="20" customFormat="1" x14ac:dyDescent="0.25"/>
    <row r="441" s="20" customFormat="1" x14ac:dyDescent="0.25"/>
    <row r="442" s="20" customFormat="1" x14ac:dyDescent="0.25"/>
    <row r="443" s="20" customFormat="1" x14ac:dyDescent="0.25"/>
    <row r="444" s="20" customFormat="1" x14ac:dyDescent="0.25"/>
    <row r="445" s="20" customFormat="1" x14ac:dyDescent="0.25"/>
    <row r="446" s="20" customFormat="1" x14ac:dyDescent="0.25"/>
    <row r="447" s="20" customFormat="1" x14ac:dyDescent="0.25"/>
    <row r="448" s="20" customFormat="1" x14ac:dyDescent="0.25"/>
    <row r="449" s="20" customFormat="1" x14ac:dyDescent="0.25"/>
    <row r="450" s="20" customFormat="1" x14ac:dyDescent="0.25"/>
    <row r="451" s="20" customFormat="1" x14ac:dyDescent="0.25"/>
    <row r="452" s="20" customFormat="1" x14ac:dyDescent="0.25"/>
    <row r="453" s="20" customFormat="1" x14ac:dyDescent="0.25"/>
    <row r="454" s="20" customFormat="1" x14ac:dyDescent="0.25"/>
    <row r="455" s="20" customFormat="1" x14ac:dyDescent="0.25"/>
    <row r="456" s="20" customFormat="1" x14ac:dyDescent="0.25"/>
    <row r="457" s="20" customFormat="1" x14ac:dyDescent="0.25"/>
    <row r="458" s="20" customFormat="1" x14ac:dyDescent="0.25"/>
    <row r="459" s="20" customFormat="1" x14ac:dyDescent="0.25"/>
    <row r="460" s="20" customFormat="1" x14ac:dyDescent="0.25"/>
    <row r="461" s="20" customFormat="1" x14ac:dyDescent="0.25"/>
    <row r="462" s="20" customFormat="1" x14ac:dyDescent="0.25"/>
    <row r="463" s="20" customFormat="1" x14ac:dyDescent="0.25"/>
    <row r="464" s="20" customFormat="1" x14ac:dyDescent="0.25"/>
    <row r="465" s="20" customFormat="1" x14ac:dyDescent="0.25"/>
    <row r="466" s="20" customFormat="1" x14ac:dyDescent="0.25"/>
    <row r="467" s="20" customFormat="1" x14ac:dyDescent="0.25"/>
    <row r="468" s="20" customFormat="1" x14ac:dyDescent="0.25"/>
    <row r="469" s="20" customFormat="1" x14ac:dyDescent="0.25"/>
    <row r="470" s="20" customFormat="1" x14ac:dyDescent="0.25"/>
    <row r="471" s="20" customFormat="1" x14ac:dyDescent="0.25"/>
    <row r="472" s="20" customFormat="1" x14ac:dyDescent="0.25"/>
    <row r="473" s="20" customFormat="1" x14ac:dyDescent="0.25"/>
    <row r="474" s="20" customFormat="1" x14ac:dyDescent="0.25"/>
    <row r="475" s="20" customFormat="1" x14ac:dyDescent="0.25"/>
    <row r="476" s="20" customFormat="1" x14ac:dyDescent="0.25"/>
    <row r="477" s="20" customFormat="1" x14ac:dyDescent="0.25"/>
    <row r="478" s="20" customFormat="1" x14ac:dyDescent="0.25"/>
    <row r="479" s="20" customFormat="1" x14ac:dyDescent="0.25"/>
    <row r="480" s="20" customFormat="1" x14ac:dyDescent="0.25"/>
    <row r="481" spans="1:36" s="20" customFormat="1" x14ac:dyDescent="0.25"/>
    <row r="482" spans="1:36" s="20" customFormat="1" x14ac:dyDescent="0.25"/>
    <row r="483" spans="1:36" s="20" customFormat="1" x14ac:dyDescent="0.25"/>
    <row r="484" spans="1:36" s="20" customFormat="1" x14ac:dyDescent="0.25"/>
    <row r="485" spans="1:36" s="20" customFormat="1" x14ac:dyDescent="0.25"/>
    <row r="486" spans="1:36" s="20" customFormat="1" x14ac:dyDescent="0.25"/>
    <row r="487" spans="1:36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</row>
    <row r="488" spans="1:36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</row>
    <row r="489" spans="1:36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</row>
    <row r="490" spans="1:36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</row>
    <row r="491" spans="1:36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</row>
    <row r="492" spans="1:36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</row>
    <row r="493" spans="1:36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</row>
    <row r="494" spans="1:36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</row>
    <row r="495" spans="1:36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</row>
    <row r="496" spans="1:36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</row>
    <row r="497" spans="1:36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</row>
    <row r="498" spans="1:36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</row>
    <row r="499" spans="1:36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</row>
    <row r="500" spans="1:36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</row>
    <row r="501" spans="1:36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</row>
    <row r="502" spans="1:36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</row>
    <row r="503" spans="1:36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</row>
    <row r="504" spans="1:36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</row>
    <row r="505" spans="1:36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</row>
    <row r="506" spans="1:36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</row>
    <row r="507" spans="1:36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</row>
    <row r="508" spans="1:36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</row>
    <row r="509" spans="1:36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</row>
    <row r="510" spans="1:36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</row>
    <row r="511" spans="1:36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</row>
    <row r="512" spans="1:36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</row>
    <row r="513" spans="1:36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</row>
    <row r="514" spans="1:36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</row>
    <row r="515" spans="1:36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</row>
    <row r="516" spans="1:36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</row>
    <row r="517" spans="1:36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</row>
    <row r="518" spans="1:36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</row>
    <row r="519" spans="1:36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</row>
    <row r="520" spans="1:36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</row>
    <row r="521" spans="1:36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</row>
    <row r="522" spans="1:36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</row>
    <row r="523" spans="1:36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</row>
    <row r="524" spans="1:36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</row>
    <row r="525" spans="1:36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</row>
    <row r="526" spans="1:36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</row>
    <row r="527" spans="1:36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</row>
    <row r="528" spans="1:36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</row>
    <row r="529" spans="1:36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</row>
    <row r="530" spans="1:36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</row>
    <row r="531" spans="1:36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</row>
    <row r="532" spans="1:36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</row>
    <row r="533" spans="1:36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</row>
    <row r="534" spans="1:36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</row>
    <row r="535" spans="1:36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spans="1:36" x14ac:dyDescent="0.2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</row>
    <row r="537" spans="1:36" x14ac:dyDescent="0.2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</row>
    <row r="538" spans="1:36" x14ac:dyDescent="0.2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</row>
    <row r="539" spans="1:36" x14ac:dyDescent="0.2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</row>
    <row r="540" spans="1:36" x14ac:dyDescent="0.2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</row>
    <row r="541" spans="1:36" x14ac:dyDescent="0.2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</row>
    <row r="542" spans="1:36" x14ac:dyDescent="0.2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</row>
    <row r="543" spans="1:36" x14ac:dyDescent="0.2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</row>
    <row r="544" spans="1:36" x14ac:dyDescent="0.2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</row>
    <row r="545" spans="1:36" x14ac:dyDescent="0.2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</row>
    <row r="546" spans="1:36" x14ac:dyDescent="0.2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</row>
    <row r="547" spans="1:36" x14ac:dyDescent="0.2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</row>
    <row r="548" spans="1:36" x14ac:dyDescent="0.2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</row>
    <row r="549" spans="1:36" x14ac:dyDescent="0.2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</row>
    <row r="550" spans="1:36" x14ac:dyDescent="0.2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</row>
    <row r="551" spans="1:36" x14ac:dyDescent="0.2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</row>
    <row r="552" spans="1:36" x14ac:dyDescent="0.2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</row>
    <row r="553" spans="1:36" x14ac:dyDescent="0.2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</row>
    <row r="554" spans="1:36" x14ac:dyDescent="0.2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</row>
    <row r="555" spans="1:36" x14ac:dyDescent="0.2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</row>
    <row r="556" spans="1:36" x14ac:dyDescent="0.2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</row>
    <row r="557" spans="1:36" x14ac:dyDescent="0.2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</row>
    <row r="558" spans="1:36" x14ac:dyDescent="0.2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</row>
    <row r="559" spans="1:36" x14ac:dyDescent="0.2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</row>
    <row r="560" spans="1:36" x14ac:dyDescent="0.2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</row>
    <row r="561" spans="1:36" x14ac:dyDescent="0.2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</row>
    <row r="562" spans="1:36" x14ac:dyDescent="0.2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</row>
    <row r="563" spans="1:36" x14ac:dyDescent="0.2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</row>
    <row r="564" spans="1:36" x14ac:dyDescent="0.2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</row>
    <row r="565" spans="1:36" x14ac:dyDescent="0.2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</row>
    <row r="566" spans="1:36" x14ac:dyDescent="0.2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</row>
    <row r="567" spans="1:36" x14ac:dyDescent="0.2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</row>
    <row r="568" spans="1:36" x14ac:dyDescent="0.2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</row>
    <row r="569" spans="1:36" x14ac:dyDescent="0.2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</row>
    <row r="570" spans="1:36" x14ac:dyDescent="0.2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</row>
    <row r="571" spans="1:36" x14ac:dyDescent="0.2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</row>
    <row r="572" spans="1:36" x14ac:dyDescent="0.2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</row>
    <row r="573" spans="1:36" x14ac:dyDescent="0.2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</row>
    <row r="574" spans="1:36" x14ac:dyDescent="0.2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</row>
    <row r="575" spans="1:36" x14ac:dyDescent="0.2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</row>
    <row r="576" spans="1:36" x14ac:dyDescent="0.2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</row>
    <row r="577" spans="1:36" x14ac:dyDescent="0.2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</row>
    <row r="578" spans="1:36" x14ac:dyDescent="0.2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</row>
    <row r="579" spans="1:36" x14ac:dyDescent="0.2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</row>
    <row r="580" spans="1:36" x14ac:dyDescent="0.2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</row>
    <row r="581" spans="1:36" x14ac:dyDescent="0.2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</row>
    <row r="582" spans="1:36" x14ac:dyDescent="0.2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</row>
    <row r="583" spans="1:36" x14ac:dyDescent="0.2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</row>
    <row r="584" spans="1:36" x14ac:dyDescent="0.2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</row>
    <row r="585" spans="1:36" x14ac:dyDescent="0.2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</row>
    <row r="586" spans="1:36" x14ac:dyDescent="0.2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</row>
    <row r="587" spans="1:36" x14ac:dyDescent="0.2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</row>
    <row r="588" spans="1:36" x14ac:dyDescent="0.2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</row>
    <row r="589" spans="1:36" x14ac:dyDescent="0.2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</row>
    <row r="590" spans="1:36" x14ac:dyDescent="0.2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</row>
    <row r="591" spans="1:36" x14ac:dyDescent="0.2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</row>
    <row r="592" spans="1:36" x14ac:dyDescent="0.2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</row>
    <row r="593" spans="1:36" x14ac:dyDescent="0.2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</row>
    <row r="594" spans="1:36" x14ac:dyDescent="0.2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</row>
    <row r="595" spans="1:36" x14ac:dyDescent="0.2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</row>
    <row r="596" spans="1:36" x14ac:dyDescent="0.2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</row>
    <row r="597" spans="1:36" x14ac:dyDescent="0.2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</row>
    <row r="598" spans="1:36" x14ac:dyDescent="0.2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</row>
    <row r="599" spans="1:36" x14ac:dyDescent="0.2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</row>
    <row r="600" spans="1:36" x14ac:dyDescent="0.2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</row>
    <row r="601" spans="1:36" x14ac:dyDescent="0.2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</row>
    <row r="602" spans="1:36" x14ac:dyDescent="0.2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</row>
    <row r="603" spans="1:36" x14ac:dyDescent="0.2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</row>
    <row r="604" spans="1:36" x14ac:dyDescent="0.2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</row>
    <row r="605" spans="1:36" x14ac:dyDescent="0.2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</row>
    <row r="606" spans="1:36" x14ac:dyDescent="0.2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</row>
    <row r="607" spans="1:36" x14ac:dyDescent="0.2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</row>
    <row r="608" spans="1:36" x14ac:dyDescent="0.2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</row>
    <row r="609" spans="1:36" x14ac:dyDescent="0.2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</row>
    <row r="610" spans="1:36" x14ac:dyDescent="0.2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</row>
    <row r="611" spans="1:36" x14ac:dyDescent="0.2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</row>
    <row r="612" spans="1:36" x14ac:dyDescent="0.2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</row>
    <row r="613" spans="1:36" x14ac:dyDescent="0.2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</row>
    <row r="614" spans="1:36" x14ac:dyDescent="0.2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</row>
    <row r="615" spans="1:36" x14ac:dyDescent="0.2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</row>
    <row r="616" spans="1:36" x14ac:dyDescent="0.2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</row>
    <row r="617" spans="1:36" x14ac:dyDescent="0.2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</row>
    <row r="618" spans="1:36" x14ac:dyDescent="0.2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</row>
    <row r="619" spans="1:36" x14ac:dyDescent="0.2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</row>
    <row r="620" spans="1:36" x14ac:dyDescent="0.2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</row>
    <row r="621" spans="1:36" x14ac:dyDescent="0.2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</row>
    <row r="622" spans="1:36" x14ac:dyDescent="0.2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</row>
    <row r="623" spans="1:36" x14ac:dyDescent="0.2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</row>
    <row r="624" spans="1:36" x14ac:dyDescent="0.2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</row>
    <row r="625" spans="1:36" x14ac:dyDescent="0.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</row>
    <row r="626" spans="1:36" x14ac:dyDescent="0.2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</row>
    <row r="627" spans="1:36" x14ac:dyDescent="0.2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</row>
    <row r="628" spans="1:36" x14ac:dyDescent="0.2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</row>
    <row r="629" spans="1:36" x14ac:dyDescent="0.2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</row>
    <row r="630" spans="1:36" x14ac:dyDescent="0.2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</row>
    <row r="631" spans="1:36" x14ac:dyDescent="0.2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</row>
    <row r="632" spans="1:36" x14ac:dyDescent="0.2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</row>
    <row r="633" spans="1:36" x14ac:dyDescent="0.2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</row>
    <row r="634" spans="1:36" x14ac:dyDescent="0.2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</row>
    <row r="635" spans="1:36" x14ac:dyDescent="0.2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</row>
    <row r="636" spans="1:36" x14ac:dyDescent="0.2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</row>
    <row r="637" spans="1:36" x14ac:dyDescent="0.2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</row>
    <row r="638" spans="1:36" x14ac:dyDescent="0.2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</row>
    <row r="639" spans="1:36" x14ac:dyDescent="0.2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</row>
    <row r="640" spans="1:36" x14ac:dyDescent="0.2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</row>
    <row r="641" spans="1:36" x14ac:dyDescent="0.2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</row>
    <row r="642" spans="1:36" x14ac:dyDescent="0.2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</row>
    <row r="643" spans="1:36" x14ac:dyDescent="0.2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</row>
    <row r="644" spans="1:36" x14ac:dyDescent="0.2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</row>
    <row r="645" spans="1:36" x14ac:dyDescent="0.2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</row>
    <row r="646" spans="1:36" x14ac:dyDescent="0.2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</row>
    <row r="647" spans="1:36" x14ac:dyDescent="0.2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</row>
    <row r="648" spans="1:36" x14ac:dyDescent="0.2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</row>
    <row r="649" spans="1:36" x14ac:dyDescent="0.2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</row>
    <row r="650" spans="1:36" x14ac:dyDescent="0.2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</row>
    <row r="651" spans="1:36" x14ac:dyDescent="0.2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</row>
    <row r="652" spans="1:36" x14ac:dyDescent="0.2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</row>
    <row r="653" spans="1:36" x14ac:dyDescent="0.2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</row>
    <row r="654" spans="1:36" x14ac:dyDescent="0.2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</row>
    <row r="655" spans="1:36" x14ac:dyDescent="0.2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</row>
    <row r="656" spans="1:36" x14ac:dyDescent="0.2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</row>
    <row r="657" spans="1:36" x14ac:dyDescent="0.2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</row>
    <row r="658" spans="1:36" x14ac:dyDescent="0.2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</row>
    <row r="659" spans="1:36" x14ac:dyDescent="0.2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</row>
    <row r="660" spans="1:36" x14ac:dyDescent="0.2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</row>
    <row r="661" spans="1:36" x14ac:dyDescent="0.2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</row>
    <row r="662" spans="1:36" x14ac:dyDescent="0.2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</row>
    <row r="663" spans="1:36" x14ac:dyDescent="0.2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</row>
    <row r="664" spans="1:36" x14ac:dyDescent="0.2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</row>
    <row r="665" spans="1:36" x14ac:dyDescent="0.2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</row>
    <row r="666" spans="1:36" x14ac:dyDescent="0.2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</row>
    <row r="667" spans="1:36" x14ac:dyDescent="0.2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</row>
    <row r="668" spans="1:36" x14ac:dyDescent="0.2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</row>
    <row r="669" spans="1:36" x14ac:dyDescent="0.2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</row>
    <row r="670" spans="1:36" x14ac:dyDescent="0.2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</row>
    <row r="671" spans="1:36" x14ac:dyDescent="0.2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</row>
    <row r="672" spans="1:36" x14ac:dyDescent="0.2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</row>
    <row r="673" spans="1:36" x14ac:dyDescent="0.2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</row>
    <row r="674" spans="1:36" x14ac:dyDescent="0.2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</row>
    <row r="675" spans="1:36" x14ac:dyDescent="0.2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</row>
    <row r="676" spans="1:36" x14ac:dyDescent="0.2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</row>
    <row r="677" spans="1:36" x14ac:dyDescent="0.2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</row>
    <row r="678" spans="1:36" x14ac:dyDescent="0.2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</row>
    <row r="679" spans="1:36" x14ac:dyDescent="0.2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</row>
    <row r="680" spans="1:36" x14ac:dyDescent="0.2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</row>
    <row r="681" spans="1:36" x14ac:dyDescent="0.2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</row>
    <row r="682" spans="1:36" x14ac:dyDescent="0.2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</row>
    <row r="683" spans="1:36" x14ac:dyDescent="0.2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</row>
    <row r="684" spans="1:36" x14ac:dyDescent="0.2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</row>
    <row r="685" spans="1:36" x14ac:dyDescent="0.2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</row>
    <row r="686" spans="1:36" x14ac:dyDescent="0.2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</row>
    <row r="687" spans="1:36" x14ac:dyDescent="0.2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</row>
    <row r="688" spans="1:36" x14ac:dyDescent="0.2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</row>
    <row r="689" spans="1:36" x14ac:dyDescent="0.2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</row>
    <row r="690" spans="1:36" x14ac:dyDescent="0.2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</row>
    <row r="691" spans="1:36" x14ac:dyDescent="0.2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</row>
    <row r="692" spans="1:36" x14ac:dyDescent="0.2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</row>
    <row r="693" spans="1:36" x14ac:dyDescent="0.2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</row>
    <row r="694" spans="1:36" x14ac:dyDescent="0.2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</row>
    <row r="695" spans="1:36" x14ac:dyDescent="0.2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</row>
    <row r="696" spans="1:36" x14ac:dyDescent="0.2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</row>
    <row r="697" spans="1:36" x14ac:dyDescent="0.2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</row>
    <row r="698" spans="1:36" x14ac:dyDescent="0.2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</row>
    <row r="699" spans="1:36" x14ac:dyDescent="0.2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</row>
    <row r="700" spans="1:36" x14ac:dyDescent="0.2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</row>
    <row r="701" spans="1:36" x14ac:dyDescent="0.2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</row>
    <row r="702" spans="1:36" x14ac:dyDescent="0.2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</row>
    <row r="703" spans="1:36" x14ac:dyDescent="0.2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</row>
    <row r="704" spans="1:36" x14ac:dyDescent="0.2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</row>
    <row r="705" spans="1:36" x14ac:dyDescent="0.2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</row>
    <row r="706" spans="1:36" x14ac:dyDescent="0.2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</row>
    <row r="707" spans="1:36" x14ac:dyDescent="0.2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</row>
    <row r="708" spans="1:36" x14ac:dyDescent="0.2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</row>
    <row r="709" spans="1:36" x14ac:dyDescent="0.2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</row>
    <row r="710" spans="1:36" x14ac:dyDescent="0.2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</row>
    <row r="711" spans="1:36" x14ac:dyDescent="0.2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</row>
    <row r="712" spans="1:36" x14ac:dyDescent="0.2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</row>
    <row r="713" spans="1:36" x14ac:dyDescent="0.2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</row>
    <row r="714" spans="1:36" x14ac:dyDescent="0.2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</row>
    <row r="715" spans="1:36" x14ac:dyDescent="0.2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</row>
    <row r="716" spans="1:36" x14ac:dyDescent="0.2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</row>
    <row r="717" spans="1:36" x14ac:dyDescent="0.2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</row>
    <row r="718" spans="1:36" x14ac:dyDescent="0.2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</row>
    <row r="719" spans="1:36" x14ac:dyDescent="0.2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</row>
    <row r="720" spans="1:36" x14ac:dyDescent="0.2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</row>
    <row r="721" spans="1:36" x14ac:dyDescent="0.2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</row>
    <row r="722" spans="1:36" x14ac:dyDescent="0.2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</row>
    <row r="723" spans="1:36" x14ac:dyDescent="0.2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</row>
    <row r="724" spans="1:36" x14ac:dyDescent="0.2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</row>
    <row r="725" spans="1:36" x14ac:dyDescent="0.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</row>
    <row r="726" spans="1:36" x14ac:dyDescent="0.2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</row>
    <row r="727" spans="1:36" x14ac:dyDescent="0.2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</row>
    <row r="728" spans="1:36" x14ac:dyDescent="0.2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</row>
    <row r="729" spans="1:36" x14ac:dyDescent="0.2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</row>
    <row r="730" spans="1:36" x14ac:dyDescent="0.2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</row>
    <row r="731" spans="1:36" x14ac:dyDescent="0.2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</row>
    <row r="732" spans="1:36" x14ac:dyDescent="0.2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</row>
    <row r="733" spans="1:36" x14ac:dyDescent="0.2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</row>
    <row r="734" spans="1:36" x14ac:dyDescent="0.2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</row>
    <row r="735" spans="1:36" x14ac:dyDescent="0.2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</row>
    <row r="736" spans="1:36" x14ac:dyDescent="0.2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</row>
    <row r="737" spans="1:36" x14ac:dyDescent="0.2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</row>
    <row r="738" spans="1:36" x14ac:dyDescent="0.2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</row>
    <row r="739" spans="1:36" x14ac:dyDescent="0.2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</row>
    <row r="740" spans="1:36" x14ac:dyDescent="0.2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</row>
    <row r="741" spans="1:36" x14ac:dyDescent="0.2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</row>
    <row r="742" spans="1:36" x14ac:dyDescent="0.2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</row>
    <row r="743" spans="1:36" x14ac:dyDescent="0.2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</row>
    <row r="744" spans="1:36" x14ac:dyDescent="0.2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</row>
    <row r="745" spans="1:36" x14ac:dyDescent="0.2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</row>
    <row r="746" spans="1:36" x14ac:dyDescent="0.2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</row>
    <row r="747" spans="1:36" x14ac:dyDescent="0.2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</row>
    <row r="748" spans="1:36" x14ac:dyDescent="0.2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</row>
    <row r="749" spans="1:36" x14ac:dyDescent="0.2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</row>
    <row r="750" spans="1:36" x14ac:dyDescent="0.2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</row>
    <row r="751" spans="1:36" x14ac:dyDescent="0.2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</row>
    <row r="752" spans="1:36" x14ac:dyDescent="0.2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</row>
    <row r="753" spans="1:36" x14ac:dyDescent="0.2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</row>
    <row r="754" spans="1:36" x14ac:dyDescent="0.2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</row>
    <row r="755" spans="1:36" x14ac:dyDescent="0.2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</row>
    <row r="756" spans="1:36" x14ac:dyDescent="0.2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</row>
    <row r="757" spans="1:36" x14ac:dyDescent="0.2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</row>
    <row r="758" spans="1:36" x14ac:dyDescent="0.2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</row>
    <row r="759" spans="1:36" x14ac:dyDescent="0.2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</row>
    <row r="760" spans="1:36" x14ac:dyDescent="0.2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</row>
    <row r="761" spans="1:36" x14ac:dyDescent="0.2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</row>
    <row r="762" spans="1:36" x14ac:dyDescent="0.2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</row>
    <row r="763" spans="1:36" x14ac:dyDescent="0.2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</row>
    <row r="764" spans="1:36" x14ac:dyDescent="0.2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</row>
    <row r="765" spans="1:36" x14ac:dyDescent="0.2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</row>
    <row r="766" spans="1:36" x14ac:dyDescent="0.2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</row>
    <row r="767" spans="1:36" x14ac:dyDescent="0.2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</row>
    <row r="768" spans="1:36" x14ac:dyDescent="0.2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</row>
    <row r="769" spans="1:36" x14ac:dyDescent="0.2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</row>
    <row r="770" spans="1:36" x14ac:dyDescent="0.2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</row>
    <row r="771" spans="1:36" x14ac:dyDescent="0.2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</row>
    <row r="772" spans="1:36" x14ac:dyDescent="0.2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</row>
    <row r="773" spans="1:36" x14ac:dyDescent="0.2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</row>
    <row r="774" spans="1:36" x14ac:dyDescent="0.2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</row>
    <row r="775" spans="1:36" x14ac:dyDescent="0.2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</row>
    <row r="776" spans="1:36" x14ac:dyDescent="0.2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</row>
    <row r="777" spans="1:36" x14ac:dyDescent="0.2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</row>
    <row r="778" spans="1:36" x14ac:dyDescent="0.2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</row>
    <row r="779" spans="1:36" x14ac:dyDescent="0.2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</row>
    <row r="780" spans="1:36" x14ac:dyDescent="0.2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</row>
    <row r="781" spans="1:36" x14ac:dyDescent="0.2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</row>
    <row r="782" spans="1:36" x14ac:dyDescent="0.2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</row>
    <row r="783" spans="1:36" x14ac:dyDescent="0.2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</row>
    <row r="784" spans="1:36" x14ac:dyDescent="0.2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</row>
    <row r="785" spans="1:36" x14ac:dyDescent="0.2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</row>
    <row r="786" spans="1:36" x14ac:dyDescent="0.2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</row>
    <row r="787" spans="1:36" x14ac:dyDescent="0.2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</row>
    <row r="788" spans="1:36" x14ac:dyDescent="0.2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</row>
    <row r="789" spans="1:36" x14ac:dyDescent="0.2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</row>
    <row r="790" spans="1:36" x14ac:dyDescent="0.2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</row>
    <row r="791" spans="1:36" x14ac:dyDescent="0.2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</row>
    <row r="792" spans="1:36" x14ac:dyDescent="0.2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</row>
    <row r="793" spans="1:36" x14ac:dyDescent="0.2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</row>
    <row r="794" spans="1:36" x14ac:dyDescent="0.2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</row>
    <row r="795" spans="1:36" x14ac:dyDescent="0.2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</row>
    <row r="796" spans="1:36" x14ac:dyDescent="0.2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</row>
    <row r="797" spans="1:36" x14ac:dyDescent="0.2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</row>
    <row r="798" spans="1:36" x14ac:dyDescent="0.2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</row>
    <row r="799" spans="1:36" x14ac:dyDescent="0.2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</row>
    <row r="800" spans="1:36" x14ac:dyDescent="0.2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</row>
    <row r="801" spans="1:36" x14ac:dyDescent="0.2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</row>
    <row r="802" spans="1:36" x14ac:dyDescent="0.2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</row>
    <row r="803" spans="1:36" x14ac:dyDescent="0.2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</row>
    <row r="804" spans="1:36" x14ac:dyDescent="0.2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</row>
    <row r="805" spans="1:36" x14ac:dyDescent="0.2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</row>
    <row r="806" spans="1:36" x14ac:dyDescent="0.2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</row>
    <row r="807" spans="1:36" x14ac:dyDescent="0.2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</row>
    <row r="808" spans="1:36" x14ac:dyDescent="0.2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</row>
    <row r="809" spans="1:36" x14ac:dyDescent="0.2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</row>
    <row r="810" spans="1:36" x14ac:dyDescent="0.2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</row>
    <row r="811" spans="1:36" x14ac:dyDescent="0.2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</row>
    <row r="812" spans="1:36" x14ac:dyDescent="0.2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</row>
    <row r="813" spans="1:36" x14ac:dyDescent="0.2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</row>
    <row r="814" spans="1:36" x14ac:dyDescent="0.2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</row>
    <row r="815" spans="1:36" x14ac:dyDescent="0.2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</row>
    <row r="816" spans="1:36" x14ac:dyDescent="0.2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</row>
    <row r="817" spans="1:36" x14ac:dyDescent="0.2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</row>
    <row r="818" spans="1:36" x14ac:dyDescent="0.2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</row>
    <row r="819" spans="1:36" x14ac:dyDescent="0.2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</row>
    <row r="820" spans="1:36" x14ac:dyDescent="0.2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</row>
    <row r="821" spans="1:36" x14ac:dyDescent="0.2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</row>
    <row r="822" spans="1:36" x14ac:dyDescent="0.2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</row>
    <row r="823" spans="1:36" x14ac:dyDescent="0.2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</row>
    <row r="824" spans="1:36" x14ac:dyDescent="0.2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</row>
    <row r="825" spans="1:36" x14ac:dyDescent="0.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</row>
    <row r="826" spans="1:36" x14ac:dyDescent="0.2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</row>
    <row r="827" spans="1:36" x14ac:dyDescent="0.2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</row>
    <row r="828" spans="1:36" x14ac:dyDescent="0.2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</row>
    <row r="829" spans="1:36" x14ac:dyDescent="0.2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</row>
    <row r="830" spans="1:36" x14ac:dyDescent="0.2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</row>
    <row r="831" spans="1:36" x14ac:dyDescent="0.2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</row>
    <row r="832" spans="1:36" x14ac:dyDescent="0.2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</row>
    <row r="833" spans="1:36" x14ac:dyDescent="0.2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</row>
    <row r="834" spans="1:36" x14ac:dyDescent="0.2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</row>
    <row r="835" spans="1:36" x14ac:dyDescent="0.2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</row>
    <row r="836" spans="1:36" x14ac:dyDescent="0.2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</row>
    <row r="837" spans="1:36" x14ac:dyDescent="0.2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</row>
    <row r="838" spans="1:36" x14ac:dyDescent="0.2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</row>
    <row r="839" spans="1:36" x14ac:dyDescent="0.2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</row>
    <row r="840" spans="1:36" x14ac:dyDescent="0.2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</row>
    <row r="841" spans="1:36" x14ac:dyDescent="0.2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</row>
    <row r="842" spans="1:36" x14ac:dyDescent="0.2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</row>
    <row r="843" spans="1:36" x14ac:dyDescent="0.2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</row>
    <row r="844" spans="1:36" x14ac:dyDescent="0.2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</row>
    <row r="845" spans="1:36" x14ac:dyDescent="0.2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</row>
    <row r="846" spans="1:36" x14ac:dyDescent="0.2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</row>
    <row r="847" spans="1:36" x14ac:dyDescent="0.2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</row>
    <row r="848" spans="1:36" x14ac:dyDescent="0.2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</row>
    <row r="849" spans="1:36" x14ac:dyDescent="0.2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</row>
    <row r="850" spans="1:36" x14ac:dyDescent="0.2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</row>
    <row r="851" spans="1:36" x14ac:dyDescent="0.2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</row>
    <row r="852" spans="1:36" x14ac:dyDescent="0.2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</row>
    <row r="853" spans="1:36" x14ac:dyDescent="0.2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</row>
    <row r="854" spans="1:36" x14ac:dyDescent="0.2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</row>
    <row r="855" spans="1:36" x14ac:dyDescent="0.2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</row>
    <row r="856" spans="1:36" x14ac:dyDescent="0.2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</row>
    <row r="857" spans="1:36" x14ac:dyDescent="0.2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</row>
    <row r="858" spans="1:36" x14ac:dyDescent="0.2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</row>
    <row r="859" spans="1:36" x14ac:dyDescent="0.2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</row>
    <row r="860" spans="1:36" x14ac:dyDescent="0.2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</row>
    <row r="861" spans="1:36" x14ac:dyDescent="0.2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</row>
    <row r="862" spans="1:36" x14ac:dyDescent="0.2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</row>
    <row r="863" spans="1:36" x14ac:dyDescent="0.2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</row>
    <row r="864" spans="1:36" x14ac:dyDescent="0.2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</row>
    <row r="865" spans="1:36" x14ac:dyDescent="0.2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</row>
    <row r="866" spans="1:36" x14ac:dyDescent="0.2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</row>
    <row r="867" spans="1:36" x14ac:dyDescent="0.2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</row>
    <row r="868" spans="1:36" x14ac:dyDescent="0.2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</row>
    <row r="869" spans="1:36" x14ac:dyDescent="0.2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</row>
    <row r="870" spans="1:36" x14ac:dyDescent="0.2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</row>
    <row r="871" spans="1:36" x14ac:dyDescent="0.2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</row>
    <row r="872" spans="1:36" x14ac:dyDescent="0.2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</row>
    <row r="873" spans="1:36" x14ac:dyDescent="0.2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</row>
    <row r="874" spans="1:36" x14ac:dyDescent="0.2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</row>
    <row r="875" spans="1:36" x14ac:dyDescent="0.2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</row>
    <row r="876" spans="1:36" x14ac:dyDescent="0.2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</row>
    <row r="877" spans="1:36" x14ac:dyDescent="0.2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</row>
    <row r="878" spans="1:36" x14ac:dyDescent="0.2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</row>
    <row r="879" spans="1:36" x14ac:dyDescent="0.2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</row>
    <row r="880" spans="1:36" x14ac:dyDescent="0.2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</row>
    <row r="881" spans="1:36" x14ac:dyDescent="0.2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</row>
    <row r="882" spans="1:36" x14ac:dyDescent="0.2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</row>
    <row r="883" spans="1:36" x14ac:dyDescent="0.2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</row>
    <row r="884" spans="1:36" x14ac:dyDescent="0.2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</row>
    <row r="885" spans="1:36" x14ac:dyDescent="0.2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</row>
    <row r="886" spans="1:36" x14ac:dyDescent="0.2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</row>
    <row r="887" spans="1:36" x14ac:dyDescent="0.2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</row>
    <row r="888" spans="1:36" x14ac:dyDescent="0.2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</row>
    <row r="889" spans="1:36" x14ac:dyDescent="0.2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</row>
    <row r="890" spans="1:36" x14ac:dyDescent="0.2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</row>
    <row r="891" spans="1:36" x14ac:dyDescent="0.2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</row>
    <row r="892" spans="1:36" x14ac:dyDescent="0.2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</row>
    <row r="893" spans="1:36" x14ac:dyDescent="0.2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</row>
    <row r="894" spans="1:36" x14ac:dyDescent="0.2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</row>
    <row r="895" spans="1:36" x14ac:dyDescent="0.2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</row>
    <row r="896" spans="1:36" x14ac:dyDescent="0.2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</row>
    <row r="897" spans="1:36" x14ac:dyDescent="0.2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</row>
    <row r="898" spans="1:36" x14ac:dyDescent="0.2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</row>
    <row r="899" spans="1:36" x14ac:dyDescent="0.2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</row>
    <row r="900" spans="1:36" x14ac:dyDescent="0.2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</row>
    <row r="901" spans="1:36" x14ac:dyDescent="0.2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</row>
    <row r="902" spans="1:36" x14ac:dyDescent="0.2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</row>
    <row r="903" spans="1:36" x14ac:dyDescent="0.2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</row>
    <row r="904" spans="1:36" x14ac:dyDescent="0.2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</row>
    <row r="905" spans="1:36" x14ac:dyDescent="0.2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</row>
    <row r="906" spans="1:36" x14ac:dyDescent="0.2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</row>
    <row r="907" spans="1:36" x14ac:dyDescent="0.2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</row>
    <row r="908" spans="1:36" x14ac:dyDescent="0.2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</row>
    <row r="909" spans="1:36" x14ac:dyDescent="0.2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</row>
    <row r="910" spans="1:36" x14ac:dyDescent="0.2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</row>
    <row r="911" spans="1:36" x14ac:dyDescent="0.2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</row>
    <row r="912" spans="1:36" x14ac:dyDescent="0.2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</row>
    <row r="913" spans="1:36" x14ac:dyDescent="0.2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</row>
    <row r="914" spans="1:36" x14ac:dyDescent="0.2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</row>
    <row r="915" spans="1:36" x14ac:dyDescent="0.2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</row>
    <row r="916" spans="1:36" x14ac:dyDescent="0.2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</row>
    <row r="917" spans="1:36" x14ac:dyDescent="0.2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</row>
    <row r="918" spans="1:36" x14ac:dyDescent="0.2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</row>
    <row r="919" spans="1:36" x14ac:dyDescent="0.2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</row>
    <row r="920" spans="1:36" x14ac:dyDescent="0.2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</row>
    <row r="921" spans="1:36" x14ac:dyDescent="0.2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</row>
    <row r="922" spans="1:36" x14ac:dyDescent="0.2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</row>
    <row r="923" spans="1:36" x14ac:dyDescent="0.2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</row>
    <row r="924" spans="1:36" x14ac:dyDescent="0.2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</row>
    <row r="925" spans="1:36" x14ac:dyDescent="0.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</row>
    <row r="926" spans="1:36" x14ac:dyDescent="0.2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</row>
    <row r="927" spans="1:36" x14ac:dyDescent="0.2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</row>
    <row r="928" spans="1:36" x14ac:dyDescent="0.2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</row>
    <row r="929" spans="1:36" x14ac:dyDescent="0.2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</row>
    <row r="930" spans="1:36" x14ac:dyDescent="0.2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</row>
    <row r="931" spans="1:36" x14ac:dyDescent="0.2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</row>
    <row r="932" spans="1:36" x14ac:dyDescent="0.2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</row>
    <row r="933" spans="1:36" x14ac:dyDescent="0.2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</row>
    <row r="934" spans="1:36" x14ac:dyDescent="0.2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</row>
    <row r="935" spans="1:36" x14ac:dyDescent="0.2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</row>
    <row r="936" spans="1:36" x14ac:dyDescent="0.2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</row>
    <row r="937" spans="1:36" x14ac:dyDescent="0.2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</row>
    <row r="938" spans="1:36" x14ac:dyDescent="0.2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</row>
    <row r="939" spans="1:36" x14ac:dyDescent="0.2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</row>
    <row r="940" spans="1:36" x14ac:dyDescent="0.2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</row>
    <row r="941" spans="1:36" x14ac:dyDescent="0.2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</row>
    <row r="942" spans="1:36" x14ac:dyDescent="0.2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</row>
    <row r="943" spans="1:36" x14ac:dyDescent="0.2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</row>
    <row r="944" spans="1:36" x14ac:dyDescent="0.2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</row>
    <row r="945" spans="1:36" x14ac:dyDescent="0.2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</row>
    <row r="946" spans="1:36" x14ac:dyDescent="0.2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</row>
    <row r="947" spans="1:36" x14ac:dyDescent="0.2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</row>
    <row r="948" spans="1:36" x14ac:dyDescent="0.2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</row>
    <row r="949" spans="1:36" x14ac:dyDescent="0.2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</row>
    <row r="950" spans="1:36" x14ac:dyDescent="0.2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</row>
    <row r="951" spans="1:36" x14ac:dyDescent="0.2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</row>
    <row r="952" spans="1:36" x14ac:dyDescent="0.2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</row>
    <row r="953" spans="1:36" x14ac:dyDescent="0.2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</row>
    <row r="954" spans="1:36" x14ac:dyDescent="0.2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</row>
    <row r="955" spans="1:36" x14ac:dyDescent="0.2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</row>
    <row r="956" spans="1:36" x14ac:dyDescent="0.2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</row>
    <row r="957" spans="1:36" x14ac:dyDescent="0.2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</row>
    <row r="958" spans="1:36" x14ac:dyDescent="0.2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</row>
    <row r="959" spans="1:36" x14ac:dyDescent="0.2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</row>
    <row r="960" spans="1:36" x14ac:dyDescent="0.2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</row>
    <row r="961" spans="1:36" x14ac:dyDescent="0.2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</row>
    <row r="962" spans="1:36" x14ac:dyDescent="0.2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</row>
    <row r="963" spans="1:36" x14ac:dyDescent="0.2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</row>
    <row r="964" spans="1:36" x14ac:dyDescent="0.2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</row>
    <row r="965" spans="1:36" x14ac:dyDescent="0.2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</row>
    <row r="966" spans="1:36" x14ac:dyDescent="0.2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</row>
    <row r="967" spans="1:36" x14ac:dyDescent="0.2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</row>
    <row r="968" spans="1:36" x14ac:dyDescent="0.2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</row>
    <row r="969" spans="1:36" x14ac:dyDescent="0.2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</row>
    <row r="970" spans="1:36" x14ac:dyDescent="0.2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</row>
    <row r="971" spans="1:36" x14ac:dyDescent="0.2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</row>
    <row r="972" spans="1:36" x14ac:dyDescent="0.2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</row>
    <row r="973" spans="1:36" x14ac:dyDescent="0.2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</row>
    <row r="974" spans="1:36" x14ac:dyDescent="0.2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</row>
    <row r="975" spans="1:36" x14ac:dyDescent="0.2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</row>
    <row r="976" spans="1:36" x14ac:dyDescent="0.2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</row>
    <row r="977" spans="1:36" x14ac:dyDescent="0.2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</row>
    <row r="978" spans="1:36" x14ac:dyDescent="0.2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</row>
    <row r="979" spans="1:36" x14ac:dyDescent="0.2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</row>
    <row r="980" spans="1:36" x14ac:dyDescent="0.2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</row>
    <row r="981" spans="1:36" x14ac:dyDescent="0.2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</row>
    <row r="982" spans="1:36" x14ac:dyDescent="0.2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</row>
    <row r="983" spans="1:36" x14ac:dyDescent="0.2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</row>
    <row r="984" spans="1:36" x14ac:dyDescent="0.2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</row>
    <row r="985" spans="1:36" x14ac:dyDescent="0.2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</row>
    <row r="986" spans="1:36" x14ac:dyDescent="0.2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</row>
    <row r="987" spans="1:36" x14ac:dyDescent="0.2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</row>
    <row r="988" spans="1:36" x14ac:dyDescent="0.2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</row>
    <row r="989" spans="1:36" x14ac:dyDescent="0.2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</row>
    <row r="990" spans="1:36" x14ac:dyDescent="0.2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</row>
    <row r="991" spans="1:36" x14ac:dyDescent="0.2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</row>
    <row r="992" spans="1:36" x14ac:dyDescent="0.2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</row>
    <row r="993" spans="1:36" x14ac:dyDescent="0.2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</row>
    <row r="994" spans="1:36" x14ac:dyDescent="0.2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</row>
    <row r="995" spans="1:36" x14ac:dyDescent="0.2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</row>
    <row r="996" spans="1:36" x14ac:dyDescent="0.2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</row>
    <row r="997" spans="1:36" x14ac:dyDescent="0.2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</row>
    <row r="998" spans="1:36" x14ac:dyDescent="0.2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</row>
    <row r="999" spans="1:36" x14ac:dyDescent="0.2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</row>
    <row r="1000" spans="1:36" x14ac:dyDescent="0.2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</row>
    <row r="1001" spans="1:36" x14ac:dyDescent="0.25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</row>
    <row r="1002" spans="1:36" x14ac:dyDescent="0.25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</row>
    <row r="1003" spans="1:36" x14ac:dyDescent="0.25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</row>
    <row r="1004" spans="1:36" x14ac:dyDescent="0.25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</row>
    <row r="1005" spans="1:36" x14ac:dyDescent="0.2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</row>
    <row r="1006" spans="1:36" x14ac:dyDescent="0.25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</row>
    <row r="1007" spans="1:36" x14ac:dyDescent="0.25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</row>
    <row r="1008" spans="1:36" x14ac:dyDescent="0.25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</row>
    <row r="1009" spans="1:36" x14ac:dyDescent="0.25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</row>
    <row r="1010" spans="1:36" x14ac:dyDescent="0.25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</row>
    <row r="1011" spans="1:36" x14ac:dyDescent="0.25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</row>
    <row r="1012" spans="1:36" x14ac:dyDescent="0.25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</row>
    <row r="1013" spans="1:36" x14ac:dyDescent="0.25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</row>
    <row r="1014" spans="1:36" x14ac:dyDescent="0.25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</row>
    <row r="1015" spans="1:36" x14ac:dyDescent="0.2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</row>
    <row r="1016" spans="1:36" x14ac:dyDescent="0.25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</row>
    <row r="1017" spans="1:36" x14ac:dyDescent="0.25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</row>
    <row r="1018" spans="1:36" x14ac:dyDescent="0.25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</row>
    <row r="1019" spans="1:36" x14ac:dyDescent="0.25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</row>
    <row r="1020" spans="1:36" x14ac:dyDescent="0.25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</row>
    <row r="1021" spans="1:36" x14ac:dyDescent="0.25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</row>
    <row r="1022" spans="1:36" x14ac:dyDescent="0.25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</row>
    <row r="1023" spans="1:36" x14ac:dyDescent="0.25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</row>
    <row r="1024" spans="1:36" x14ac:dyDescent="0.25">
      <c r="A1024" s="15"/>
      <c r="B1024" s="15"/>
      <c r="C1024" s="15"/>
      <c r="D1024" s="15"/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</row>
    <row r="1025" spans="1:36" x14ac:dyDescent="0.25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</row>
    <row r="1026" spans="1:36" x14ac:dyDescent="0.25">
      <c r="A1026" s="15"/>
      <c r="B1026" s="15"/>
      <c r="C1026" s="15"/>
      <c r="D1026" s="15"/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</row>
    <row r="1027" spans="1:36" x14ac:dyDescent="0.25">
      <c r="A1027" s="15"/>
      <c r="B1027" s="15"/>
      <c r="C1027" s="15"/>
      <c r="D1027" s="15"/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</row>
    <row r="1028" spans="1:36" x14ac:dyDescent="0.25">
      <c r="A1028" s="15"/>
      <c r="B1028" s="15"/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</row>
    <row r="1029" spans="1:36" x14ac:dyDescent="0.25">
      <c r="A1029" s="15"/>
      <c r="B1029" s="15"/>
      <c r="C1029" s="15"/>
      <c r="D1029" s="15"/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</row>
    <row r="1030" spans="1:36" x14ac:dyDescent="0.25">
      <c r="A1030" s="15"/>
      <c r="B1030" s="15"/>
      <c r="C1030" s="15"/>
      <c r="D1030" s="15"/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</row>
    <row r="1031" spans="1:36" x14ac:dyDescent="0.25">
      <c r="A1031" s="15"/>
      <c r="B1031" s="15"/>
      <c r="C1031" s="15"/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</row>
    <row r="1032" spans="1:36" x14ac:dyDescent="0.25">
      <c r="A1032" s="15"/>
      <c r="B1032" s="15"/>
      <c r="C1032" s="15"/>
      <c r="D1032" s="15"/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</row>
    <row r="1033" spans="1:36" x14ac:dyDescent="0.25">
      <c r="A1033" s="15"/>
      <c r="B1033" s="15"/>
      <c r="C1033" s="15"/>
      <c r="D1033" s="15"/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</row>
    <row r="1034" spans="1:36" x14ac:dyDescent="0.25">
      <c r="A1034" s="15"/>
      <c r="B1034" s="15"/>
      <c r="C1034" s="15"/>
      <c r="D1034" s="15"/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</row>
    <row r="1035" spans="1:36" x14ac:dyDescent="0.25">
      <c r="A1035" s="15"/>
      <c r="B1035" s="15"/>
      <c r="C1035" s="15"/>
      <c r="D1035" s="15"/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</row>
    <row r="1036" spans="1:36" x14ac:dyDescent="0.25">
      <c r="A1036" s="15"/>
      <c r="B1036" s="15"/>
      <c r="C1036" s="15"/>
      <c r="D1036" s="15"/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</row>
    <row r="1037" spans="1:36" x14ac:dyDescent="0.25">
      <c r="A1037" s="15"/>
      <c r="B1037" s="15"/>
      <c r="C1037" s="15"/>
      <c r="D1037" s="15"/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</row>
    <row r="1038" spans="1:36" x14ac:dyDescent="0.25">
      <c r="A1038" s="15"/>
      <c r="B1038" s="15"/>
      <c r="C1038" s="15"/>
      <c r="D1038" s="15"/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</row>
    <row r="1039" spans="1:36" x14ac:dyDescent="0.25">
      <c r="A1039" s="15"/>
      <c r="B1039" s="15"/>
      <c r="C1039" s="15"/>
      <c r="D1039" s="15"/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</row>
    <row r="1040" spans="1:36" x14ac:dyDescent="0.25">
      <c r="A1040" s="15"/>
      <c r="B1040" s="15"/>
      <c r="C1040" s="15"/>
      <c r="D1040" s="15"/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</row>
    <row r="1041" spans="1:36" x14ac:dyDescent="0.25">
      <c r="A1041" s="15"/>
      <c r="B1041" s="15"/>
      <c r="C1041" s="15"/>
      <c r="D1041" s="15"/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</row>
    <row r="1042" spans="1:36" x14ac:dyDescent="0.25">
      <c r="A1042" s="15"/>
      <c r="B1042" s="15"/>
      <c r="C1042" s="15"/>
      <c r="D1042" s="15"/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</row>
    <row r="1043" spans="1:36" x14ac:dyDescent="0.25">
      <c r="A1043" s="15"/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</row>
    <row r="1044" spans="1:36" x14ac:dyDescent="0.25">
      <c r="A1044" s="15"/>
      <c r="B1044" s="15"/>
      <c r="C1044" s="15"/>
      <c r="D1044" s="15"/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</row>
    <row r="1045" spans="1:36" x14ac:dyDescent="0.25">
      <c r="A1045" s="15"/>
      <c r="B1045" s="15"/>
      <c r="C1045" s="15"/>
      <c r="D1045" s="15"/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</row>
    <row r="1046" spans="1:36" x14ac:dyDescent="0.25">
      <c r="A1046" s="15"/>
      <c r="B1046" s="15"/>
      <c r="C1046" s="15"/>
      <c r="D1046" s="15"/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</row>
    <row r="1047" spans="1:36" x14ac:dyDescent="0.25">
      <c r="A1047" s="15"/>
      <c r="B1047" s="15"/>
      <c r="C1047" s="15"/>
      <c r="D1047" s="15"/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</row>
    <row r="1048" spans="1:36" x14ac:dyDescent="0.25">
      <c r="A1048" s="15"/>
      <c r="B1048" s="15"/>
      <c r="C1048" s="15"/>
      <c r="D1048" s="15"/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</row>
    <row r="1049" spans="1:36" x14ac:dyDescent="0.25">
      <c r="A1049" s="15"/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</row>
    <row r="1050" spans="1:36" x14ac:dyDescent="0.25">
      <c r="A1050" s="15"/>
      <c r="B1050" s="15"/>
      <c r="C1050" s="15"/>
      <c r="D1050" s="15"/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</row>
    <row r="1051" spans="1:36" x14ac:dyDescent="0.25">
      <c r="A1051" s="15"/>
      <c r="B1051" s="15"/>
      <c r="C1051" s="15"/>
      <c r="D1051" s="15"/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</row>
    <row r="1052" spans="1:36" x14ac:dyDescent="0.25">
      <c r="A1052" s="15"/>
      <c r="B1052" s="15"/>
      <c r="C1052" s="15"/>
      <c r="D1052" s="15"/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</row>
    <row r="1053" spans="1:36" x14ac:dyDescent="0.25">
      <c r="A1053" s="15"/>
      <c r="B1053" s="15"/>
      <c r="C1053" s="15"/>
      <c r="D1053" s="15"/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</row>
    <row r="1054" spans="1:36" x14ac:dyDescent="0.25">
      <c r="A1054" s="15"/>
      <c r="B1054" s="15"/>
      <c r="C1054" s="15"/>
      <c r="D1054" s="15"/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</row>
    <row r="1055" spans="1:36" x14ac:dyDescent="0.25">
      <c r="A1055" s="15"/>
      <c r="B1055" s="15"/>
      <c r="C1055" s="15"/>
      <c r="D1055" s="15"/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</row>
    <row r="1056" spans="1:36" x14ac:dyDescent="0.25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</row>
    <row r="1057" spans="1:36" x14ac:dyDescent="0.25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</row>
    <row r="1058" spans="1:36" x14ac:dyDescent="0.25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</row>
    <row r="1059" spans="1:36" x14ac:dyDescent="0.25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</row>
    <row r="1060" spans="1:36" x14ac:dyDescent="0.25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</row>
    <row r="1061" spans="1:36" x14ac:dyDescent="0.25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</row>
    <row r="1062" spans="1:36" x14ac:dyDescent="0.25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</row>
    <row r="1063" spans="1:36" x14ac:dyDescent="0.25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</row>
    <row r="1064" spans="1:36" x14ac:dyDescent="0.25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</row>
    <row r="1065" spans="1:36" x14ac:dyDescent="0.25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</row>
    <row r="1066" spans="1:36" x14ac:dyDescent="0.25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</row>
    <row r="1067" spans="1:36" x14ac:dyDescent="0.25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</row>
    <row r="1068" spans="1:36" x14ac:dyDescent="0.25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</row>
    <row r="1069" spans="1:36" x14ac:dyDescent="0.25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</row>
    <row r="1070" spans="1:36" x14ac:dyDescent="0.25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</row>
    <row r="1071" spans="1:36" x14ac:dyDescent="0.25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</row>
    <row r="1072" spans="1:36" x14ac:dyDescent="0.25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</row>
    <row r="1073" spans="1:36" x14ac:dyDescent="0.25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</row>
    <row r="1074" spans="1:36" x14ac:dyDescent="0.25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</row>
    <row r="1075" spans="1:36" x14ac:dyDescent="0.25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</row>
    <row r="1076" spans="1:36" x14ac:dyDescent="0.25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</row>
    <row r="1077" spans="1:36" x14ac:dyDescent="0.25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</row>
    <row r="1078" spans="1:36" x14ac:dyDescent="0.25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</row>
    <row r="1079" spans="1:36" x14ac:dyDescent="0.25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</row>
    <row r="1080" spans="1:36" x14ac:dyDescent="0.25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</row>
    <row r="1081" spans="1:36" x14ac:dyDescent="0.25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</row>
    <row r="1082" spans="1:36" x14ac:dyDescent="0.25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</row>
    <row r="1083" spans="1:36" x14ac:dyDescent="0.25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</row>
    <row r="1084" spans="1:36" x14ac:dyDescent="0.25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</row>
    <row r="1085" spans="1:36" x14ac:dyDescent="0.25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</row>
    <row r="1086" spans="1:36" x14ac:dyDescent="0.25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</row>
    <row r="1087" spans="1:36" x14ac:dyDescent="0.25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</row>
    <row r="1088" spans="1:36" x14ac:dyDescent="0.25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</row>
    <row r="1089" spans="1:36" x14ac:dyDescent="0.25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</row>
    <row r="1090" spans="1:36" x14ac:dyDescent="0.25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</row>
    <row r="1091" spans="1:36" x14ac:dyDescent="0.25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</row>
    <row r="1092" spans="1:36" x14ac:dyDescent="0.25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</row>
    <row r="1093" spans="1:36" x14ac:dyDescent="0.25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</row>
    <row r="1094" spans="1:36" x14ac:dyDescent="0.25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</row>
    <row r="1095" spans="1:36" x14ac:dyDescent="0.25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</row>
    <row r="1096" spans="1:36" x14ac:dyDescent="0.25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</row>
    <row r="1097" spans="1:36" x14ac:dyDescent="0.25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</row>
    <row r="1098" spans="1:36" x14ac:dyDescent="0.25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</row>
    <row r="1099" spans="1:36" x14ac:dyDescent="0.25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</row>
    <row r="1100" spans="1:36" x14ac:dyDescent="0.25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</row>
    <row r="1101" spans="1:36" x14ac:dyDescent="0.25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</row>
    <row r="1102" spans="1:36" x14ac:dyDescent="0.25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</row>
    <row r="1103" spans="1:36" x14ac:dyDescent="0.25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</row>
    <row r="1104" spans="1:36" x14ac:dyDescent="0.25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</row>
    <row r="1105" spans="1:36" x14ac:dyDescent="0.25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</row>
    <row r="1106" spans="1:36" x14ac:dyDescent="0.25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</row>
    <row r="1107" spans="1:36" x14ac:dyDescent="0.25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</row>
    <row r="1108" spans="1:36" x14ac:dyDescent="0.25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</row>
    <row r="1109" spans="1:36" x14ac:dyDescent="0.25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</row>
    <row r="1110" spans="1:36" x14ac:dyDescent="0.25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</row>
    <row r="1111" spans="1:36" x14ac:dyDescent="0.25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</row>
    <row r="1112" spans="1:36" x14ac:dyDescent="0.25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</row>
    <row r="1113" spans="1:36" x14ac:dyDescent="0.25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</row>
    <row r="1114" spans="1:36" x14ac:dyDescent="0.25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</row>
    <row r="1115" spans="1:36" x14ac:dyDescent="0.25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</row>
    <row r="1116" spans="1:36" x14ac:dyDescent="0.25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</row>
    <row r="1117" spans="1:36" x14ac:dyDescent="0.25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</row>
    <row r="1118" spans="1:36" x14ac:dyDescent="0.25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</row>
    <row r="1119" spans="1:36" x14ac:dyDescent="0.25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</row>
    <row r="1120" spans="1:36" x14ac:dyDescent="0.25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</row>
    <row r="1121" spans="1:36" x14ac:dyDescent="0.25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</row>
    <row r="1122" spans="1:36" x14ac:dyDescent="0.25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</row>
    <row r="1123" spans="1:36" x14ac:dyDescent="0.25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</row>
    <row r="1124" spans="1:36" x14ac:dyDescent="0.25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</row>
    <row r="1125" spans="1:36" x14ac:dyDescent="0.25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</row>
    <row r="1126" spans="1:36" x14ac:dyDescent="0.25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</row>
    <row r="1127" spans="1:36" x14ac:dyDescent="0.25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</row>
    <row r="1128" spans="1:36" x14ac:dyDescent="0.25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</row>
    <row r="1129" spans="1:36" x14ac:dyDescent="0.25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</row>
    <row r="1130" spans="1:36" x14ac:dyDescent="0.25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</row>
    <row r="1131" spans="1:36" x14ac:dyDescent="0.25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</row>
    <row r="1132" spans="1:36" x14ac:dyDescent="0.25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</row>
    <row r="1133" spans="1:36" x14ac:dyDescent="0.25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</row>
    <row r="1134" spans="1:36" x14ac:dyDescent="0.25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</row>
    <row r="1135" spans="1:36" x14ac:dyDescent="0.25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</row>
    <row r="1136" spans="1:36" x14ac:dyDescent="0.25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</row>
    <row r="1137" spans="1:36" x14ac:dyDescent="0.25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</row>
    <row r="1138" spans="1:36" x14ac:dyDescent="0.25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</row>
    <row r="1139" spans="1:36" x14ac:dyDescent="0.25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</row>
    <row r="1140" spans="1:36" x14ac:dyDescent="0.25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</row>
    <row r="1141" spans="1:36" x14ac:dyDescent="0.25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</row>
    <row r="1142" spans="1:36" x14ac:dyDescent="0.25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</row>
    <row r="1143" spans="1:36" x14ac:dyDescent="0.25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</row>
    <row r="1144" spans="1:36" x14ac:dyDescent="0.25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</row>
    <row r="1145" spans="1:36" x14ac:dyDescent="0.25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</row>
    <row r="1146" spans="1:36" x14ac:dyDescent="0.25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</row>
    <row r="1147" spans="1:36" x14ac:dyDescent="0.25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</row>
    <row r="1148" spans="1:36" x14ac:dyDescent="0.25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</row>
    <row r="1149" spans="1:36" x14ac:dyDescent="0.25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</row>
    <row r="1150" spans="1:36" x14ac:dyDescent="0.25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</row>
    <row r="1151" spans="1:36" x14ac:dyDescent="0.25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</row>
    <row r="1152" spans="1:36" x14ac:dyDescent="0.25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</row>
    <row r="1153" spans="1:36" x14ac:dyDescent="0.25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</row>
    <row r="1154" spans="1:36" x14ac:dyDescent="0.25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</row>
    <row r="1155" spans="1:36" x14ac:dyDescent="0.25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</row>
    <row r="1156" spans="1:36" x14ac:dyDescent="0.25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</row>
    <row r="1157" spans="1:36" x14ac:dyDescent="0.25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</row>
    <row r="1158" spans="1:36" x14ac:dyDescent="0.25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</row>
    <row r="1159" spans="1:36" x14ac:dyDescent="0.25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</row>
    <row r="1160" spans="1:36" x14ac:dyDescent="0.25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</row>
    <row r="1161" spans="1:36" x14ac:dyDescent="0.25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</row>
    <row r="1162" spans="1:36" x14ac:dyDescent="0.25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</row>
    <row r="1163" spans="1:36" x14ac:dyDescent="0.25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</row>
    <row r="1164" spans="1:36" x14ac:dyDescent="0.25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</row>
  </sheetData>
  <autoFilter ref="A1:AJ1" xr:uid="{00000000-0009-0000-0000-000000000000}"/>
  <sortState xmlns:xlrd2="http://schemas.microsoft.com/office/spreadsheetml/2017/richdata2" ref="A2:AJ37">
    <sortCondition ref="A2:A37"/>
  </sortState>
  <phoneticPr fontId="2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Métricas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2026-06-30T13:02:30Z</dcterms:created>
  <dcterms:modified xsi:type="dcterms:W3CDTF">2026-08-27T11:19:32Z</dcterms:modified>
  <cp:category/>
</cp:coreProperties>
</file>